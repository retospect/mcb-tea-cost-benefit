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filterPrivacy="1" defaultThemeVersion="166925"/>
  <xr:revisionPtr revIDLastSave="0" documentId="13_ncr:1_{D66CEE3D-ED82-2D4D-A132-7B7726D4A59C}" xr6:coauthVersionLast="47" xr6:coauthVersionMax="47" xr10:uidLastSave="{00000000-0000-0000-0000-000000000000}"/>
  <bookViews>
    <workbookView xWindow="1280" yWindow="660" windowWidth="23100" windowHeight="21680" firstSheet="11" activeTab="13" xr2:uid="{00000000-000D-0000-FFFF-FFFF00000000}"/>
  </bookViews>
  <sheets>
    <sheet name="Overview" sheetId="1" r:id="rId1"/>
    <sheet name="1. Technology Description" sheetId="2" r:id="rId2"/>
    <sheet name="2. Cost Inputs" sheetId="3" r:id="rId3"/>
    <sheet name="3a. Outputs - Dedicated Vessel" sheetId="4" r:id="rId4"/>
    <sheet name="3b. Outputs - Ship Piggyback" sheetId="5" r:id="rId5"/>
    <sheet name="3c. Outputs - Fixed Platform" sheetId="6" r:id="rId6"/>
    <sheet name="3d. Outputs - Stationary Vessel" sheetId="7" r:id="rId7"/>
    <sheet name="4. Scenario Comparison" sheetId="18" r:id="rId8"/>
    <sheet name="5a. Cooling Model - Local" sheetId="8" r:id="rId9"/>
    <sheet name="5b. Cooling-Value Sensitivity" sheetId="9" r:id="rId10"/>
    <sheet name="5c. Benefit - Local - Reef" sheetId="10" r:id="rId11"/>
    <sheet name="5c-alt. Benefit - Reef (Zhao)" sheetId="11" r:id="rId12"/>
    <sheet name="5d. Benefit - Local - City" sheetId="12" r:id="rId13"/>
    <sheet name="6a. Cooling Model - Global" sheetId="13" r:id="rId14"/>
    <sheet name="6b. Benefit - Global - Vessel" sheetId="14" r:id="rId15"/>
    <sheet name="6c. Benefit - Global Piggyback" sheetId="15" r:id="rId16"/>
    <sheet name="References" sheetId="17" r:id="rId1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4" i="15" l="1"/>
  <c r="B31" i="15"/>
  <c r="C30" i="15"/>
  <c r="D30" i="15" s="1"/>
  <c r="B30" i="15"/>
  <c r="C29" i="15"/>
  <c r="D29" i="15" s="1"/>
  <c r="B29" i="15"/>
  <c r="B26" i="15"/>
  <c r="B25" i="15"/>
  <c r="C31" i="15" s="1"/>
  <c r="D31" i="15" s="1"/>
  <c r="B21" i="15"/>
  <c r="B20" i="15"/>
  <c r="B18" i="15"/>
  <c r="B5" i="15"/>
  <c r="B22" i="14"/>
  <c r="B21" i="14"/>
  <c r="B20" i="14"/>
  <c r="B16" i="14"/>
  <c r="C22" i="14" s="1"/>
  <c r="B13" i="14"/>
  <c r="B12" i="14"/>
  <c r="B10" i="14"/>
  <c r="B5" i="14"/>
  <c r="B17" i="14" s="1"/>
  <c r="G37" i="13"/>
  <c r="C21" i="15" s="1"/>
  <c r="F37" i="13"/>
  <c r="E37" i="13"/>
  <c r="C37" i="13"/>
  <c r="D37" i="13" s="1"/>
  <c r="E36" i="13"/>
  <c r="F36" i="13" s="1"/>
  <c r="C36" i="13"/>
  <c r="E35" i="13"/>
  <c r="F35" i="13" s="1"/>
  <c r="G34" i="13"/>
  <c r="F34" i="13"/>
  <c r="E34" i="13"/>
  <c r="D34" i="13"/>
  <c r="C34" i="13"/>
  <c r="C27" i="13"/>
  <c r="C26" i="13"/>
  <c r="C25" i="13"/>
  <c r="D20" i="13"/>
  <c r="B20" i="13"/>
  <c r="D13" i="13"/>
  <c r="C13" i="13"/>
  <c r="B26" i="12"/>
  <c r="B28" i="12" s="1"/>
  <c r="B25" i="12"/>
  <c r="B14" i="12"/>
  <c r="B49" i="11"/>
  <c r="B48" i="11"/>
  <c r="B44" i="11"/>
  <c r="B42" i="11"/>
  <c r="B38" i="11"/>
  <c r="B37" i="11"/>
  <c r="B36" i="11"/>
  <c r="B26" i="11"/>
  <c r="B24" i="11"/>
  <c r="B23" i="11"/>
  <c r="B25" i="11" s="1"/>
  <c r="B20" i="11"/>
  <c r="B19" i="11"/>
  <c r="B13" i="11"/>
  <c r="B15" i="11" s="1"/>
  <c r="B17" i="11" s="1"/>
  <c r="B10" i="11"/>
  <c r="B9" i="11"/>
  <c r="B3" i="11"/>
  <c r="B28" i="10"/>
  <c r="B27" i="10"/>
  <c r="B15" i="10"/>
  <c r="C18" i="9"/>
  <c r="C17" i="9"/>
  <c r="D16" i="9"/>
  <c r="C16" i="9"/>
  <c r="B16" i="9" s="1"/>
  <c r="C15" i="9"/>
  <c r="C14" i="9"/>
  <c r="C13" i="9"/>
  <c r="C12" i="9"/>
  <c r="C11" i="9"/>
  <c r="B11" i="9"/>
  <c r="C10" i="9"/>
  <c r="C8" i="9"/>
  <c r="C7" i="9"/>
  <c r="C6" i="9"/>
  <c r="B22" i="8"/>
  <c r="B19" i="8"/>
  <c r="B10" i="8"/>
  <c r="B22" i="7"/>
  <c r="B17" i="7"/>
  <c r="B12" i="7"/>
  <c r="B10" i="7"/>
  <c r="B9" i="7"/>
  <c r="B7" i="7"/>
  <c r="B11" i="7" s="1"/>
  <c r="B24" i="7" s="1"/>
  <c r="B30" i="6"/>
  <c r="B29" i="6"/>
  <c r="B26" i="6"/>
  <c r="B23" i="6"/>
  <c r="B22" i="6"/>
  <c r="B16" i="6"/>
  <c r="B29" i="5"/>
  <c r="B28" i="5"/>
  <c r="B25" i="5"/>
  <c r="B22" i="5"/>
  <c r="B16" i="5"/>
  <c r="B48" i="15" s="1"/>
  <c r="B8" i="5"/>
  <c r="AB72" i="4"/>
  <c r="Y72" i="4"/>
  <c r="AF72" i="4" s="1"/>
  <c r="T72" i="4"/>
  <c r="S72" i="4"/>
  <c r="R72" i="4"/>
  <c r="AH72" i="4" s="1"/>
  <c r="Q72" i="4"/>
  <c r="P72" i="4"/>
  <c r="O72" i="4"/>
  <c r="N72" i="4"/>
  <c r="L72" i="4"/>
  <c r="K72" i="4"/>
  <c r="J72" i="4"/>
  <c r="AB71" i="4"/>
  <c r="Y71" i="4"/>
  <c r="AF71" i="4" s="1"/>
  <c r="S71" i="4"/>
  <c r="R71" i="4"/>
  <c r="AH71" i="4" s="1"/>
  <c r="Q71" i="4"/>
  <c r="P71" i="4"/>
  <c r="N71" i="4"/>
  <c r="M71" i="4"/>
  <c r="L71" i="4"/>
  <c r="K71" i="4"/>
  <c r="J71" i="4"/>
  <c r="T71" i="4" s="1"/>
  <c r="AF70" i="4"/>
  <c r="Y70" i="4"/>
  <c r="S70" i="4"/>
  <c r="R70" i="4"/>
  <c r="AH70" i="4" s="1"/>
  <c r="Q70" i="4"/>
  <c r="P70" i="4"/>
  <c r="O70" i="4"/>
  <c r="M70" i="4"/>
  <c r="L70" i="4"/>
  <c r="AB70" i="4" s="1"/>
  <c r="K70" i="4"/>
  <c r="J70" i="4"/>
  <c r="T70" i="4" s="1"/>
  <c r="U70" i="4" s="1"/>
  <c r="V70" i="4" s="1"/>
  <c r="AB69" i="4"/>
  <c r="Y69" i="4"/>
  <c r="AF69" i="4" s="1"/>
  <c r="T69" i="4"/>
  <c r="U69" i="4" s="1"/>
  <c r="V69" i="4" s="1"/>
  <c r="S69" i="4"/>
  <c r="R69" i="4"/>
  <c r="AH69" i="4" s="1"/>
  <c r="Q69" i="4"/>
  <c r="P69" i="4"/>
  <c r="L69" i="4"/>
  <c r="K69" i="4"/>
  <c r="J69" i="4"/>
  <c r="AB68" i="4"/>
  <c r="Y68" i="4"/>
  <c r="AF68" i="4" s="1"/>
  <c r="T68" i="4"/>
  <c r="U68" i="4" s="1"/>
  <c r="V68" i="4" s="1"/>
  <c r="S68" i="4"/>
  <c r="R68" i="4"/>
  <c r="AH68" i="4" s="1"/>
  <c r="P68" i="4"/>
  <c r="N68" i="4"/>
  <c r="L68" i="4"/>
  <c r="K68" i="4"/>
  <c r="J68" i="4"/>
  <c r="AB67" i="4"/>
  <c r="Y67" i="4"/>
  <c r="T67" i="4"/>
  <c r="U67" i="4" s="1"/>
  <c r="V67" i="4" s="1"/>
  <c r="S67" i="4"/>
  <c r="AF67" i="4" s="1"/>
  <c r="R67" i="4"/>
  <c r="AH67" i="4" s="1"/>
  <c r="P67" i="4"/>
  <c r="O67" i="4"/>
  <c r="N67" i="4"/>
  <c r="L67" i="4"/>
  <c r="K67" i="4"/>
  <c r="J67" i="4"/>
  <c r="AH66" i="4"/>
  <c r="AF66" i="4"/>
  <c r="Y66" i="4"/>
  <c r="S66" i="4"/>
  <c r="R66" i="4"/>
  <c r="Q66" i="4"/>
  <c r="P66" i="4"/>
  <c r="N66" i="4"/>
  <c r="M66" i="4"/>
  <c r="K66" i="4"/>
  <c r="J66" i="4"/>
  <c r="T66" i="4" s="1"/>
  <c r="U66" i="4" s="1"/>
  <c r="V66" i="4" s="1"/>
  <c r="AH65" i="4"/>
  <c r="Y65" i="4"/>
  <c r="U65" i="4"/>
  <c r="S65" i="4"/>
  <c r="R65" i="4"/>
  <c r="Q65" i="4"/>
  <c r="P65" i="4"/>
  <c r="N65" i="4"/>
  <c r="L65" i="4"/>
  <c r="AB65" i="4" s="1"/>
  <c r="K65" i="4"/>
  <c r="J65" i="4"/>
  <c r="T65" i="4" s="1"/>
  <c r="Y64" i="4"/>
  <c r="AF64" i="4" s="1"/>
  <c r="T64" i="4"/>
  <c r="U64" i="4" s="1"/>
  <c r="V64" i="4" s="1"/>
  <c r="S64" i="4"/>
  <c r="R64" i="4"/>
  <c r="AH64" i="4" s="1"/>
  <c r="Q64" i="4"/>
  <c r="N64" i="4"/>
  <c r="L64" i="4"/>
  <c r="AB64" i="4" s="1"/>
  <c r="K64" i="4"/>
  <c r="J64" i="4"/>
  <c r="Y63" i="4"/>
  <c r="AF63" i="4" s="1"/>
  <c r="T63" i="4"/>
  <c r="U63" i="4" s="1"/>
  <c r="S63" i="4"/>
  <c r="R63" i="4"/>
  <c r="Q63" i="4"/>
  <c r="N63" i="4"/>
  <c r="M63" i="4"/>
  <c r="L63" i="4"/>
  <c r="AB63" i="4" s="1"/>
  <c r="K63" i="4"/>
  <c r="J63" i="4"/>
  <c r="AH62" i="4"/>
  <c r="AB62" i="4"/>
  <c r="Y62" i="4"/>
  <c r="AF62" i="4" s="1"/>
  <c r="S62" i="4"/>
  <c r="R62" i="4"/>
  <c r="Q62" i="4"/>
  <c r="P62" i="4"/>
  <c r="N62" i="4"/>
  <c r="L62" i="4"/>
  <c r="K62" i="4"/>
  <c r="J62" i="4"/>
  <c r="T62" i="4" s="1"/>
  <c r="U62" i="4" s="1"/>
  <c r="V62" i="4" s="1"/>
  <c r="AH61" i="4"/>
  <c r="Y61" i="4"/>
  <c r="AF61" i="4" s="1"/>
  <c r="T61" i="4"/>
  <c r="U61" i="4" s="1"/>
  <c r="V61" i="4" s="1"/>
  <c r="S61" i="4"/>
  <c r="R61" i="4"/>
  <c r="Q61" i="4"/>
  <c r="P61" i="4"/>
  <c r="N61" i="4"/>
  <c r="M61" i="4"/>
  <c r="L61" i="4"/>
  <c r="AB61" i="4" s="1"/>
  <c r="K61" i="4"/>
  <c r="J61" i="4"/>
  <c r="AB60" i="4"/>
  <c r="Y60" i="4"/>
  <c r="AF60" i="4" s="1"/>
  <c r="T60" i="4"/>
  <c r="U60" i="4" s="1"/>
  <c r="V60" i="4" s="1"/>
  <c r="S60" i="4"/>
  <c r="R60" i="4"/>
  <c r="AH60" i="4" s="1"/>
  <c r="Q60" i="4"/>
  <c r="P60" i="4"/>
  <c r="N60" i="4"/>
  <c r="L60" i="4"/>
  <c r="K60" i="4"/>
  <c r="J60" i="4"/>
  <c r="Y59" i="4"/>
  <c r="AH59" i="4" s="1"/>
  <c r="T59" i="4"/>
  <c r="U59" i="4" s="1"/>
  <c r="V59" i="4" s="1"/>
  <c r="S59" i="4"/>
  <c r="R59" i="4"/>
  <c r="Q59" i="4"/>
  <c r="P59" i="4"/>
  <c r="N59" i="4"/>
  <c r="M59" i="4"/>
  <c r="L59" i="4"/>
  <c r="AB59" i="4" s="1"/>
  <c r="K59" i="4"/>
  <c r="J59" i="4"/>
  <c r="C59" i="4"/>
  <c r="D59" i="4" s="1"/>
  <c r="N70" i="4" s="1"/>
  <c r="B59" i="4"/>
  <c r="N69" i="4" s="1"/>
  <c r="AF58" i="4"/>
  <c r="Y58" i="4"/>
  <c r="S58" i="4"/>
  <c r="R58" i="4"/>
  <c r="AH58" i="4" s="1"/>
  <c r="Q58" i="4"/>
  <c r="P58" i="4"/>
  <c r="N58" i="4"/>
  <c r="M58" i="4"/>
  <c r="L58" i="4"/>
  <c r="AB58" i="4" s="1"/>
  <c r="J58" i="4"/>
  <c r="T58" i="4" s="1"/>
  <c r="U58" i="4" s="1"/>
  <c r="C58" i="4"/>
  <c r="B58" i="4" s="1"/>
  <c r="Y57" i="4"/>
  <c r="AF57" i="4" s="1"/>
  <c r="T57" i="4"/>
  <c r="U57" i="4" s="1"/>
  <c r="S57" i="4"/>
  <c r="R57" i="4"/>
  <c r="AH57" i="4" s="1"/>
  <c r="Q57" i="4"/>
  <c r="P57" i="4"/>
  <c r="O57" i="4"/>
  <c r="N57" i="4"/>
  <c r="L57" i="4"/>
  <c r="AB57" i="4" s="1"/>
  <c r="J57" i="4"/>
  <c r="C57" i="4"/>
  <c r="D57" i="4" s="1"/>
  <c r="L66" i="4" s="1"/>
  <c r="AB66" i="4" s="1"/>
  <c r="B57" i="4"/>
  <c r="Y56" i="4"/>
  <c r="AH56" i="4" s="1"/>
  <c r="U56" i="4"/>
  <c r="V56" i="4" s="1"/>
  <c r="T56" i="4"/>
  <c r="R56" i="4"/>
  <c r="Q56" i="4"/>
  <c r="P56" i="4"/>
  <c r="N56" i="4"/>
  <c r="L56" i="4"/>
  <c r="AB56" i="4" s="1"/>
  <c r="K56" i="4"/>
  <c r="J56" i="4"/>
  <c r="C56" i="4"/>
  <c r="D56" i="4" s="1"/>
  <c r="P64" i="4" s="1"/>
  <c r="B56" i="4"/>
  <c r="P63" i="4" s="1"/>
  <c r="Y55" i="4"/>
  <c r="S55" i="4"/>
  <c r="AF55" i="4" s="1"/>
  <c r="R55" i="4"/>
  <c r="Q55" i="4"/>
  <c r="P55" i="4"/>
  <c r="O55" i="4"/>
  <c r="N55" i="4"/>
  <c r="M55" i="4"/>
  <c r="L55" i="4"/>
  <c r="AB55" i="4" s="1"/>
  <c r="K55" i="4"/>
  <c r="J55" i="4"/>
  <c r="T55" i="4" s="1"/>
  <c r="U55" i="4" s="1"/>
  <c r="V55" i="4" s="1"/>
  <c r="Y54" i="4"/>
  <c r="AF54" i="4" s="1"/>
  <c r="U54" i="4"/>
  <c r="V54" i="4" s="1"/>
  <c r="T54" i="4"/>
  <c r="S54" i="4"/>
  <c r="Q54" i="4"/>
  <c r="P54" i="4"/>
  <c r="N54" i="4"/>
  <c r="L54" i="4"/>
  <c r="AB54" i="4" s="1"/>
  <c r="K54" i="4"/>
  <c r="J54" i="4"/>
  <c r="D54" i="4"/>
  <c r="C54" i="4"/>
  <c r="B54" i="4"/>
  <c r="B9" i="9" s="1"/>
  <c r="AF53" i="4"/>
  <c r="Y53" i="4"/>
  <c r="T53" i="4"/>
  <c r="U53" i="4" s="1"/>
  <c r="V53" i="4" s="1"/>
  <c r="S53" i="4"/>
  <c r="Q53" i="4"/>
  <c r="P53" i="4"/>
  <c r="N53" i="4"/>
  <c r="M53" i="4"/>
  <c r="L53" i="4"/>
  <c r="AB53" i="4" s="1"/>
  <c r="K53" i="4"/>
  <c r="J53" i="4"/>
  <c r="C53" i="4"/>
  <c r="B53" i="4" s="1"/>
  <c r="AB52" i="4"/>
  <c r="Y52" i="4"/>
  <c r="AF52" i="4" s="1"/>
  <c r="T52" i="4"/>
  <c r="U52" i="4" s="1"/>
  <c r="V52" i="4" s="1"/>
  <c r="S52" i="4"/>
  <c r="R52" i="4"/>
  <c r="AH52" i="4" s="1"/>
  <c r="Q52" i="4"/>
  <c r="P52" i="4"/>
  <c r="N52" i="4"/>
  <c r="L52" i="4"/>
  <c r="K52" i="4"/>
  <c r="C52" i="4"/>
  <c r="D52" i="4" s="1"/>
  <c r="B52" i="4"/>
  <c r="B38" i="4" s="1"/>
  <c r="Y51" i="4"/>
  <c r="AF51" i="4" s="1"/>
  <c r="S51" i="4"/>
  <c r="R51" i="4"/>
  <c r="Q51" i="4"/>
  <c r="P51" i="4"/>
  <c r="N51" i="4"/>
  <c r="L51" i="4"/>
  <c r="AB51" i="4" s="1"/>
  <c r="K51" i="4"/>
  <c r="C51" i="4"/>
  <c r="C40" i="4" s="1"/>
  <c r="B51" i="4"/>
  <c r="B40" i="4" s="1"/>
  <c r="Y50" i="4"/>
  <c r="AF50" i="4" s="1"/>
  <c r="U50" i="4"/>
  <c r="V50" i="4" s="1"/>
  <c r="T50" i="4"/>
  <c r="T51" i="4" s="1"/>
  <c r="U51" i="4" s="1"/>
  <c r="V51" i="4" s="1"/>
  <c r="S50" i="4"/>
  <c r="R50" i="4"/>
  <c r="AH50" i="4" s="1"/>
  <c r="Q50" i="4"/>
  <c r="P50" i="4"/>
  <c r="O50" i="4"/>
  <c r="N50" i="4"/>
  <c r="M50" i="4"/>
  <c r="L50" i="4"/>
  <c r="AB50" i="4" s="1"/>
  <c r="K50" i="4"/>
  <c r="J50" i="4"/>
  <c r="C50" i="4"/>
  <c r="D50" i="4" s="1"/>
  <c r="U72" i="4" s="1"/>
  <c r="V72" i="4" s="1"/>
  <c r="B50" i="4"/>
  <c r="U71" i="4" s="1"/>
  <c r="V71" i="4" s="1"/>
  <c r="C38" i="4"/>
  <c r="D34" i="4"/>
  <c r="C34" i="4"/>
  <c r="B34" i="4"/>
  <c r="B25" i="4"/>
  <c r="B12" i="4" s="1"/>
  <c r="B24" i="4"/>
  <c r="B23" i="4"/>
  <c r="B21" i="4"/>
  <c r="D13" i="4"/>
  <c r="G11" i="4"/>
  <c r="G10" i="4"/>
  <c r="B10" i="4"/>
  <c r="B5" i="4"/>
  <c r="D43" i="3"/>
  <c r="O60" i="4" s="1"/>
  <c r="B41" i="3"/>
  <c r="D40" i="3"/>
  <c r="M54" i="4" s="1"/>
  <c r="D26" i="3"/>
  <c r="B24" i="2"/>
  <c r="B17" i="2"/>
  <c r="AD54" i="4" s="1"/>
  <c r="B12" i="2"/>
  <c r="B11" i="2" s="1"/>
  <c r="B8" i="8" s="1"/>
  <c r="B11" i="8" s="1"/>
  <c r="D38" i="4" l="1"/>
  <c r="D11" i="9"/>
  <c r="S56" i="4"/>
  <c r="B10" i="12"/>
  <c r="B11" i="12" s="1"/>
  <c r="B11" i="10"/>
  <c r="B12" i="10"/>
  <c r="B7" i="9"/>
  <c r="Q67" i="4"/>
  <c r="K57" i="4"/>
  <c r="V57" i="4" s="1"/>
  <c r="B10" i="9"/>
  <c r="B13" i="2"/>
  <c r="D53" i="4"/>
  <c r="D58" i="4"/>
  <c r="AD58" i="4"/>
  <c r="B34" i="11"/>
  <c r="B35" i="11" s="1"/>
  <c r="E13" i="13"/>
  <c r="B35" i="13" s="1"/>
  <c r="B18" i="2"/>
  <c r="B19" i="2" s="1"/>
  <c r="D51" i="4"/>
  <c r="B50" i="11"/>
  <c r="B38" i="10"/>
  <c r="H37" i="13"/>
  <c r="I37" i="13" s="1"/>
  <c r="B24" i="13"/>
  <c r="B33" i="8"/>
  <c r="M51" i="4"/>
  <c r="O53" i="4"/>
  <c r="AH55" i="4"/>
  <c r="AF56" i="4"/>
  <c r="AF59" i="4"/>
  <c r="AH63" i="4"/>
  <c r="M68" i="4"/>
  <c r="AD66" i="4"/>
  <c r="AD63" i="4"/>
  <c r="AD61" i="4"/>
  <c r="AD59" i="4"/>
  <c r="AD56" i="4"/>
  <c r="AD53" i="4"/>
  <c r="AD50" i="4"/>
  <c r="AD67" i="4"/>
  <c r="B42" i="5"/>
  <c r="AD68" i="4"/>
  <c r="C49" i="4"/>
  <c r="AD72" i="4"/>
  <c r="AD62" i="4"/>
  <c r="AD60" i="4"/>
  <c r="B13" i="3"/>
  <c r="D9" i="9"/>
  <c r="M60" i="4"/>
  <c r="R53" i="4"/>
  <c r="AH53" i="4" s="1"/>
  <c r="M56" i="4"/>
  <c r="AD64" i="4"/>
  <c r="O66" i="4"/>
  <c r="O71" i="4"/>
  <c r="C13" i="14"/>
  <c r="O63" i="4"/>
  <c r="AD69" i="4"/>
  <c r="B51" i="11"/>
  <c r="B52" i="11" s="1"/>
  <c r="V65" i="4"/>
  <c r="O68" i="4"/>
  <c r="D18" i="9"/>
  <c r="B18" i="9"/>
  <c r="H34" i="13"/>
  <c r="I34" i="13" s="1"/>
  <c r="C18" i="15"/>
  <c r="C10" i="14"/>
  <c r="D22" i="14"/>
  <c r="C41" i="15"/>
  <c r="C40" i="15"/>
  <c r="C39" i="15"/>
  <c r="C38" i="15"/>
  <c r="O59" i="4"/>
  <c r="B8" i="10"/>
  <c r="AD71" i="4"/>
  <c r="B9" i="10"/>
  <c r="AH51" i="4"/>
  <c r="O56" i="4"/>
  <c r="AD57" i="4"/>
  <c r="AF65" i="4"/>
  <c r="O54" i="4"/>
  <c r="O51" i="4"/>
  <c r="C9" i="9"/>
  <c r="M65" i="4"/>
  <c r="M72" i="4"/>
  <c r="M62" i="4"/>
  <c r="M52" i="4"/>
  <c r="C55" i="4"/>
  <c r="M64" i="4"/>
  <c r="M69" i="4"/>
  <c r="AD70" i="4"/>
  <c r="M57" i="4"/>
  <c r="V63" i="4"/>
  <c r="M67" i="4"/>
  <c r="B28" i="11"/>
  <c r="B30" i="11" s="1"/>
  <c r="B41" i="11"/>
  <c r="G36" i="13"/>
  <c r="O64" i="4"/>
  <c r="O65" i="4"/>
  <c r="O69" i="4"/>
  <c r="O58" i="4"/>
  <c r="O52" i="4"/>
  <c r="AD55" i="4"/>
  <c r="AD65" i="4"/>
  <c r="B29" i="11"/>
  <c r="C20" i="14"/>
  <c r="D20" i="14" s="1"/>
  <c r="D36" i="13"/>
  <c r="C21" i="14"/>
  <c r="D21" i="14" s="1"/>
  <c r="B49" i="4" l="1"/>
  <c r="D49" i="4"/>
  <c r="C32" i="4"/>
  <c r="H36" i="13"/>
  <c r="I36" i="13" s="1"/>
  <c r="C12" i="14"/>
  <c r="C20" i="15"/>
  <c r="B11" i="3"/>
  <c r="B25" i="2"/>
  <c r="B14" i="2"/>
  <c r="B20" i="2" s="1"/>
  <c r="B24" i="3" s="1"/>
  <c r="C29" i="14"/>
  <c r="C32" i="14"/>
  <c r="C31" i="14"/>
  <c r="C30" i="14"/>
  <c r="B40" i="3"/>
  <c r="B12" i="3"/>
  <c r="G9" i="4"/>
  <c r="B15" i="3"/>
  <c r="D33" i="4"/>
  <c r="C33" i="4"/>
  <c r="B33" i="4"/>
  <c r="B21" i="6"/>
  <c r="B24" i="6" s="1"/>
  <c r="B25" i="6" s="1"/>
  <c r="D18" i="15"/>
  <c r="D10" i="14"/>
  <c r="B56" i="15"/>
  <c r="B43" i="5"/>
  <c r="B21" i="5"/>
  <c r="B23" i="5" s="1"/>
  <c r="B24" i="5" s="1"/>
  <c r="R54" i="4"/>
  <c r="AH54" i="4" s="1"/>
  <c r="D40" i="4"/>
  <c r="B11" i="14"/>
  <c r="C35" i="13"/>
  <c r="B19" i="15"/>
  <c r="B59" i="15"/>
  <c r="D21" i="15"/>
  <c r="D13" i="14"/>
  <c r="B10" i="10"/>
  <c r="B29" i="10" s="1"/>
  <c r="B37" i="10"/>
  <c r="D55" i="4"/>
  <c r="B55" i="4"/>
  <c r="D10" i="9"/>
  <c r="K58" i="4"/>
  <c r="V58" i="4" s="1"/>
  <c r="B31" i="11"/>
  <c r="Q68" i="4"/>
  <c r="D7" i="9"/>
  <c r="B28" i="6" l="1"/>
  <c r="C28" i="6" s="1"/>
  <c r="B9" i="5"/>
  <c r="B27" i="5" s="1"/>
  <c r="C27" i="5" s="1"/>
  <c r="B35" i="4"/>
  <c r="B39" i="4"/>
  <c r="B30" i="5"/>
  <c r="C30" i="5" s="1"/>
  <c r="B26" i="5"/>
  <c r="B47" i="15"/>
  <c r="C56" i="15" s="1"/>
  <c r="D56" i="15" s="1"/>
  <c r="C29" i="5"/>
  <c r="C28" i="5"/>
  <c r="O61" i="4"/>
  <c r="B8" i="9"/>
  <c r="B31" i="6"/>
  <c r="C31" i="6" s="1"/>
  <c r="B27" i="6"/>
  <c r="D8" i="9"/>
  <c r="O62" i="4"/>
  <c r="D35" i="4"/>
  <c r="D39" i="4"/>
  <c r="B22" i="4"/>
  <c r="AE68" i="4" s="1"/>
  <c r="C29" i="6"/>
  <c r="C31" i="4"/>
  <c r="B31" i="4"/>
  <c r="D31" i="4"/>
  <c r="B8" i="7"/>
  <c r="C30" i="6"/>
  <c r="B45" i="3"/>
  <c r="C51" i="3"/>
  <c r="B57" i="3" s="1"/>
  <c r="B58" i="3" s="1"/>
  <c r="B47" i="11" s="1"/>
  <c r="B45" i="11"/>
  <c r="B43" i="11"/>
  <c r="B40" i="11"/>
  <c r="B39" i="11"/>
  <c r="B32" i="11"/>
  <c r="C39" i="4"/>
  <c r="C35" i="4"/>
  <c r="G35" i="13"/>
  <c r="D35" i="13"/>
  <c r="B28" i="3"/>
  <c r="B20" i="3"/>
  <c r="D12" i="14"/>
  <c r="B58" i="15"/>
  <c r="D20" i="15"/>
  <c r="D32" i="4"/>
  <c r="J52" i="4"/>
  <c r="AD52" i="4" s="1"/>
  <c r="B32" i="4"/>
  <c r="J51" i="4"/>
  <c r="AD51" i="4" s="1"/>
  <c r="B31" i="5" l="1"/>
  <c r="C26" i="5"/>
  <c r="B36" i="4"/>
  <c r="B46" i="11"/>
  <c r="C19" i="15"/>
  <c r="C11" i="14"/>
  <c r="H35" i="13"/>
  <c r="I35" i="13" s="1"/>
  <c r="AE51" i="4"/>
  <c r="AE52" i="4"/>
  <c r="D36" i="4"/>
  <c r="D41" i="4" s="1"/>
  <c r="C36" i="4"/>
  <c r="C41" i="4" s="1"/>
  <c r="C59" i="15"/>
  <c r="D59" i="15" s="1"/>
  <c r="B7" i="4"/>
  <c r="B32" i="6"/>
  <c r="C27" i="6"/>
  <c r="B9" i="4"/>
  <c r="B21" i="7"/>
  <c r="C21" i="7" s="1"/>
  <c r="W63" i="4"/>
  <c r="W61" i="4"/>
  <c r="W59" i="4"/>
  <c r="W56" i="4"/>
  <c r="W53" i="4"/>
  <c r="W50" i="4"/>
  <c r="W67" i="4"/>
  <c r="B12" i="12"/>
  <c r="B13" i="12" s="1"/>
  <c r="W66" i="4"/>
  <c r="W51" i="4"/>
  <c r="B13" i="10"/>
  <c r="B14" i="10" s="1"/>
  <c r="W68" i="4"/>
  <c r="W69" i="4"/>
  <c r="W71" i="4"/>
  <c r="W62" i="4"/>
  <c r="W58" i="4"/>
  <c r="W55" i="4"/>
  <c r="W70" i="4"/>
  <c r="W65" i="4"/>
  <c r="W54" i="4"/>
  <c r="W57" i="4"/>
  <c r="G6" i="4"/>
  <c r="W60" i="4"/>
  <c r="W72" i="4"/>
  <c r="W64" i="4"/>
  <c r="W52" i="4"/>
  <c r="C10" i="4"/>
  <c r="AE54" i="4"/>
  <c r="C12" i="4"/>
  <c r="AE72" i="4"/>
  <c r="AE56" i="4"/>
  <c r="AE67" i="4"/>
  <c r="AE53" i="4"/>
  <c r="AE71" i="4"/>
  <c r="AE70" i="4"/>
  <c r="AE63" i="4"/>
  <c r="AE57" i="4"/>
  <c r="AE50" i="4"/>
  <c r="AE61" i="4"/>
  <c r="AE59" i="4"/>
  <c r="AE64" i="4"/>
  <c r="AE55" i="4"/>
  <c r="AE62" i="4"/>
  <c r="AE69" i="4"/>
  <c r="AE66" i="4"/>
  <c r="AE58" i="4"/>
  <c r="AE60" i="4"/>
  <c r="AE65" i="4"/>
  <c r="C58" i="15"/>
  <c r="D58" i="15" s="1"/>
  <c r="B53" i="3"/>
  <c r="B20" i="7"/>
  <c r="C20" i="7" s="1"/>
  <c r="C37" i="4"/>
  <c r="B37" i="4"/>
  <c r="B41" i="4" s="1"/>
  <c r="D37" i="4"/>
  <c r="B8" i="4"/>
  <c r="C22" i="7"/>
  <c r="C24" i="7"/>
  <c r="B19" i="7"/>
  <c r="C19" i="7" s="1"/>
  <c r="B20" i="12" l="1"/>
  <c r="B16" i="12"/>
  <c r="B15" i="12"/>
  <c r="B17" i="12"/>
  <c r="X64" i="4"/>
  <c r="Z64" i="4" s="1"/>
  <c r="AA64" i="4" s="1"/>
  <c r="X72" i="4"/>
  <c r="Z72" i="4"/>
  <c r="AA72" i="4" s="1"/>
  <c r="X53" i="4"/>
  <c r="Z53" i="4" s="1"/>
  <c r="AA53" i="4" s="1"/>
  <c r="D11" i="14"/>
  <c r="B57" i="15"/>
  <c r="D19" i="15"/>
  <c r="X57" i="4"/>
  <c r="Z57" i="4"/>
  <c r="AA57" i="4" s="1"/>
  <c r="C8" i="4"/>
  <c r="Z70" i="4"/>
  <c r="AA70" i="4" s="1"/>
  <c r="X70" i="4"/>
  <c r="B54" i="11"/>
  <c r="B55" i="11"/>
  <c r="X66" i="4"/>
  <c r="Z66" i="4" s="1"/>
  <c r="AA66" i="4" s="1"/>
  <c r="X67" i="4"/>
  <c r="Z67" i="4"/>
  <c r="AA67" i="4" s="1"/>
  <c r="X59" i="4"/>
  <c r="Z59" i="4" s="1"/>
  <c r="AA59" i="4" s="1"/>
  <c r="X71" i="4"/>
  <c r="Z71" i="4" s="1"/>
  <c r="AA71" i="4" s="1"/>
  <c r="X68" i="4"/>
  <c r="Z68" i="4"/>
  <c r="AA68" i="4" s="1"/>
  <c r="X52" i="4"/>
  <c r="Z52" i="4"/>
  <c r="AA52" i="4" s="1"/>
  <c r="X50" i="4"/>
  <c r="Z50" i="4" s="1"/>
  <c r="AA50" i="4" s="1"/>
  <c r="C9" i="4"/>
  <c r="C33" i="6"/>
  <c r="C8" i="18"/>
  <c r="X69" i="4"/>
  <c r="Z69" i="4" s="1"/>
  <c r="AA69" i="4" s="1"/>
  <c r="C7" i="4"/>
  <c r="B18" i="10"/>
  <c r="B17" i="10"/>
  <c r="B16" i="10"/>
  <c r="B22" i="10"/>
  <c r="B19" i="10"/>
  <c r="Z51" i="4"/>
  <c r="AA51" i="4" s="1"/>
  <c r="X51" i="4"/>
  <c r="Z60" i="4"/>
  <c r="AA60" i="4" s="1"/>
  <c r="X60" i="4"/>
  <c r="Z56" i="4"/>
  <c r="AA56" i="4" s="1"/>
  <c r="X56" i="4"/>
  <c r="X54" i="4"/>
  <c r="Z54" i="4"/>
  <c r="AA54" i="4" s="1"/>
  <c r="X61" i="4"/>
  <c r="Z61" i="4"/>
  <c r="AA61" i="4" s="1"/>
  <c r="X65" i="4"/>
  <c r="Z65" i="4" s="1"/>
  <c r="AA65" i="4" s="1"/>
  <c r="X63" i="4"/>
  <c r="Z63" i="4"/>
  <c r="AA63" i="4" s="1"/>
  <c r="X55" i="4"/>
  <c r="Z55" i="4"/>
  <c r="AA55" i="4" s="1"/>
  <c r="X58" i="4"/>
  <c r="Z58" i="4"/>
  <c r="AA58" i="4" s="1"/>
  <c r="G7" i="4"/>
  <c r="B6" i="4"/>
  <c r="B23" i="7"/>
  <c r="C23" i="7" s="1"/>
  <c r="B11" i="4"/>
  <c r="B18" i="7"/>
  <c r="X62" i="4"/>
  <c r="Z62" i="4" s="1"/>
  <c r="AA62" i="4" s="1"/>
  <c r="C7" i="18"/>
  <c r="C32" i="5"/>
  <c r="AG69" i="4" l="1"/>
  <c r="AC69" i="4"/>
  <c r="AI69" i="4" s="1"/>
  <c r="AJ69" i="4" s="1"/>
  <c r="AG62" i="4"/>
  <c r="AC62" i="4"/>
  <c r="AI62" i="4" s="1"/>
  <c r="AJ62" i="4" s="1"/>
  <c r="AG65" i="4"/>
  <c r="AC65" i="4"/>
  <c r="AI65" i="4" s="1"/>
  <c r="AJ65" i="4" s="1"/>
  <c r="AG53" i="4"/>
  <c r="AC53" i="4"/>
  <c r="AI53" i="4" s="1"/>
  <c r="AJ53" i="4" s="1"/>
  <c r="AG64" i="4"/>
  <c r="AC64" i="4"/>
  <c r="AI64" i="4" s="1"/>
  <c r="AJ64" i="4" s="1"/>
  <c r="AG50" i="4"/>
  <c r="AC50" i="4"/>
  <c r="AI50" i="4" s="1"/>
  <c r="AJ50" i="4" s="1"/>
  <c r="AG71" i="4"/>
  <c r="AC71" i="4"/>
  <c r="AI71" i="4" s="1"/>
  <c r="AJ71" i="4" s="1"/>
  <c r="AG59" i="4"/>
  <c r="AC59" i="4"/>
  <c r="AI59" i="4" s="1"/>
  <c r="AJ59" i="4" s="1"/>
  <c r="AG66" i="4"/>
  <c r="AC66" i="4"/>
  <c r="AI66" i="4" s="1"/>
  <c r="AJ66" i="4" s="1"/>
  <c r="AG60" i="4"/>
  <c r="AC60" i="4"/>
  <c r="AI60" i="4" s="1"/>
  <c r="AJ60" i="4" s="1"/>
  <c r="B13" i="4"/>
  <c r="D6" i="4"/>
  <c r="C6" i="4"/>
  <c r="C18" i="7"/>
  <c r="B25" i="7"/>
  <c r="AC51" i="4"/>
  <c r="AG51" i="4"/>
  <c r="B20" i="10"/>
  <c r="E57" i="15"/>
  <c r="C57" i="15"/>
  <c r="D57" i="15" s="1"/>
  <c r="AG52" i="4"/>
  <c r="AC52" i="4"/>
  <c r="AI52" i="4" s="1"/>
  <c r="AJ52" i="4" s="1"/>
  <c r="AC70" i="4"/>
  <c r="AG70" i="4"/>
  <c r="AG58" i="4"/>
  <c r="AC58" i="4"/>
  <c r="AC55" i="4"/>
  <c r="AG55" i="4"/>
  <c r="AG72" i="4"/>
  <c r="AC72" i="4"/>
  <c r="AI72" i="4" s="1"/>
  <c r="AJ72" i="4" s="1"/>
  <c r="AG56" i="4"/>
  <c r="AC56" i="4"/>
  <c r="AI56" i="4" s="1"/>
  <c r="AJ56" i="4" s="1"/>
  <c r="D11" i="4"/>
  <c r="C11" i="4"/>
  <c r="AC57" i="4"/>
  <c r="AG57" i="4"/>
  <c r="AC68" i="4"/>
  <c r="AI68" i="4" s="1"/>
  <c r="AJ68" i="4" s="1"/>
  <c r="AG68" i="4"/>
  <c r="AC63" i="4"/>
  <c r="AG63" i="4"/>
  <c r="AC67" i="4"/>
  <c r="AI67" i="4" s="1"/>
  <c r="AJ67" i="4" s="1"/>
  <c r="AG67" i="4"/>
  <c r="AG61" i="4"/>
  <c r="AC61" i="4"/>
  <c r="AI61" i="4" s="1"/>
  <c r="AJ61" i="4" s="1"/>
  <c r="B39" i="6"/>
  <c r="B8" i="18"/>
  <c r="B6" i="15"/>
  <c r="B7" i="18"/>
  <c r="B37" i="5"/>
  <c r="B38" i="6"/>
  <c r="AC54" i="4"/>
  <c r="AG54" i="4"/>
  <c r="B18" i="12"/>
  <c r="AI70" i="4" l="1"/>
  <c r="AJ70" i="4" s="1"/>
  <c r="C9" i="18"/>
  <c r="C26" i="7"/>
  <c r="D73" i="4"/>
  <c r="C66" i="4"/>
  <c r="C67" i="4"/>
  <c r="C71" i="4"/>
  <c r="D64" i="4"/>
  <c r="D71" i="4"/>
  <c r="C73" i="4"/>
  <c r="D70" i="4"/>
  <c r="D65" i="4"/>
  <c r="C70" i="4"/>
  <c r="C65" i="4"/>
  <c r="D72" i="4"/>
  <c r="C69" i="4"/>
  <c r="C72" i="4"/>
  <c r="C64" i="4"/>
  <c r="D69" i="4"/>
  <c r="D68" i="4"/>
  <c r="D66" i="4"/>
  <c r="C68" i="4"/>
  <c r="AI57" i="4"/>
  <c r="AJ57" i="4" s="1"/>
  <c r="AI54" i="4"/>
  <c r="AJ54" i="4" s="1"/>
  <c r="E72" i="4"/>
  <c r="B72" i="4"/>
  <c r="A42" i="15"/>
  <c r="E55" i="15"/>
  <c r="E56" i="15"/>
  <c r="E59" i="15"/>
  <c r="E18" i="15"/>
  <c r="B38" i="15" s="1"/>
  <c r="D38" i="15" s="1"/>
  <c r="E21" i="15"/>
  <c r="B41" i="15" s="1"/>
  <c r="D41" i="15" s="1"/>
  <c r="E58" i="15"/>
  <c r="E20" i="15"/>
  <c r="B40" i="15" s="1"/>
  <c r="D40" i="15" s="1"/>
  <c r="B65" i="4"/>
  <c r="E65" i="4"/>
  <c r="G7" i="9"/>
  <c r="E7" i="9"/>
  <c r="B69" i="4"/>
  <c r="E69" i="4"/>
  <c r="E9" i="9"/>
  <c r="G9" i="9"/>
  <c r="E66" i="4"/>
  <c r="B66" i="4"/>
  <c r="C6" i="18"/>
  <c r="G5" i="4"/>
  <c r="G8" i="4"/>
  <c r="C13" i="4"/>
  <c r="D12" i="4"/>
  <c r="D10" i="4"/>
  <c r="D8" i="4"/>
  <c r="G13" i="4"/>
  <c r="D9" i="4"/>
  <c r="D7" i="4"/>
  <c r="AI63" i="4"/>
  <c r="AJ63" i="4" s="1"/>
  <c r="B73" i="4"/>
  <c r="E73" i="4"/>
  <c r="B19" i="12"/>
  <c r="B29" i="12"/>
  <c r="B21" i="10"/>
  <c r="B39" i="10"/>
  <c r="B30" i="10"/>
  <c r="A40" i="10" s="1"/>
  <c r="AI51" i="4"/>
  <c r="AJ51" i="4" s="1"/>
  <c r="E68" i="4"/>
  <c r="B68" i="4"/>
  <c r="G8" i="9"/>
  <c r="E8" i="9"/>
  <c r="AI55" i="4"/>
  <c r="AJ55" i="4" s="1"/>
  <c r="G12" i="4"/>
  <c r="E19" i="15"/>
  <c r="B39" i="15" s="1"/>
  <c r="D39" i="15" s="1"/>
  <c r="E64" i="4"/>
  <c r="B64" i="4"/>
  <c r="AI58" i="4"/>
  <c r="AJ58" i="4" s="1"/>
  <c r="B6" i="18" l="1"/>
  <c r="B6" i="14"/>
  <c r="B37" i="6"/>
  <c r="B40" i="6" s="1"/>
  <c r="D8" i="18" s="1"/>
  <c r="B30" i="7"/>
  <c r="B32" i="7" s="1"/>
  <c r="G14" i="4"/>
  <c r="B29" i="8"/>
  <c r="B34" i="8" s="1"/>
  <c r="B36" i="5"/>
  <c r="B38" i="5" s="1"/>
  <c r="D7" i="18" s="1"/>
  <c r="E74" i="4"/>
  <c r="B74" i="4"/>
  <c r="E70" i="4"/>
  <c r="B70" i="4"/>
  <c r="G10" i="9"/>
  <c r="E10" i="9"/>
  <c r="D74" i="4"/>
  <c r="B31" i="7"/>
  <c r="B9" i="18"/>
  <c r="B36" i="12"/>
  <c r="A37" i="12"/>
  <c r="C74" i="4"/>
  <c r="B67" i="4"/>
  <c r="E67" i="4"/>
  <c r="E71" i="4"/>
  <c r="B71" i="4"/>
  <c r="G11" i="9"/>
  <c r="E11" i="9"/>
  <c r="D67" i="4"/>
  <c r="F11" i="9" l="1"/>
  <c r="F8" i="9"/>
  <c r="F16" i="9"/>
  <c r="F14" i="9"/>
  <c r="F9" i="9"/>
  <c r="F6" i="9"/>
  <c r="E14" i="9"/>
  <c r="G12" i="9"/>
  <c r="E6" i="9"/>
  <c r="E12" i="9"/>
  <c r="F12" i="9"/>
  <c r="G17" i="9"/>
  <c r="F17" i="9"/>
  <c r="F15" i="9"/>
  <c r="G15" i="9"/>
  <c r="E15" i="9"/>
  <c r="F13" i="9"/>
  <c r="G6" i="9"/>
  <c r="G14" i="9"/>
  <c r="E16" i="9"/>
  <c r="E17" i="9"/>
  <c r="G16" i="9"/>
  <c r="G13" i="9"/>
  <c r="E13" i="9"/>
  <c r="F10" i="9"/>
  <c r="F7" i="9"/>
  <c r="J10" i="9"/>
  <c r="H10" i="9"/>
  <c r="N10" i="9"/>
  <c r="E13" i="14"/>
  <c r="B32" i="14" s="1"/>
  <c r="D32" i="14" s="1"/>
  <c r="E10" i="14"/>
  <c r="B29" i="14" s="1"/>
  <c r="D29" i="14" s="1"/>
  <c r="E12" i="14"/>
  <c r="B31" i="14" s="1"/>
  <c r="D31" i="14" s="1"/>
  <c r="E11" i="14"/>
  <c r="B30" i="14" s="1"/>
  <c r="D30" i="14" s="1"/>
  <c r="B33" i="7"/>
  <c r="D9" i="18" s="1"/>
  <c r="L15" i="9" l="1"/>
  <c r="K15" i="9"/>
  <c r="H12" i="9"/>
  <c r="J12" i="9"/>
  <c r="N12" i="9"/>
  <c r="N13" i="9"/>
  <c r="H13" i="9"/>
  <c r="J13" i="9"/>
  <c r="K9" i="9"/>
  <c r="L9" i="9"/>
  <c r="H9" i="9"/>
  <c r="N9" i="9"/>
  <c r="J9" i="9"/>
  <c r="M9" i="9" s="1"/>
  <c r="K8" i="9"/>
  <c r="L8" i="9"/>
  <c r="N8" i="9"/>
  <c r="H8" i="9"/>
  <c r="J8" i="9"/>
  <c r="K14" i="9"/>
  <c r="L14" i="9"/>
  <c r="L16" i="9"/>
  <c r="K16" i="9"/>
  <c r="K11" i="9"/>
  <c r="L11" i="9"/>
  <c r="N11" i="9"/>
  <c r="K17" i="9"/>
  <c r="L17" i="9"/>
  <c r="L12" i="9"/>
  <c r="K12" i="9"/>
  <c r="J6" i="9"/>
  <c r="M6" i="9" s="1"/>
  <c r="N6" i="9"/>
  <c r="H6" i="9"/>
  <c r="L7" i="9"/>
  <c r="K7" i="9"/>
  <c r="H7" i="9"/>
  <c r="N7" i="9"/>
  <c r="J7" i="9"/>
  <c r="L10" i="9"/>
  <c r="K10" i="9"/>
  <c r="M10" i="9" s="1"/>
  <c r="N14" i="9"/>
  <c r="J14" i="9"/>
  <c r="M14" i="9" s="1"/>
  <c r="H14" i="9"/>
  <c r="K6" i="9"/>
  <c r="L6" i="9"/>
  <c r="J17" i="9"/>
  <c r="M17" i="9" s="1"/>
  <c r="H17" i="9"/>
  <c r="N17" i="9"/>
  <c r="H16" i="9"/>
  <c r="N16" i="9"/>
  <c r="J16" i="9"/>
  <c r="M16" i="9" s="1"/>
  <c r="J11" i="9"/>
  <c r="M11" i="9" s="1"/>
  <c r="L13" i="9"/>
  <c r="K13" i="9"/>
  <c r="N15" i="9"/>
  <c r="H15" i="9"/>
  <c r="J15" i="9"/>
  <c r="M15" i="9" s="1"/>
  <c r="H11" i="9"/>
  <c r="M12" i="9" l="1"/>
  <c r="M7" i="9"/>
  <c r="M13" i="9"/>
  <c r="M8" i="9"/>
</calcChain>
</file>

<file path=xl/sharedStrings.xml><?xml version="1.0" encoding="utf-8"?>
<sst xmlns="http://schemas.openxmlformats.org/spreadsheetml/2006/main" count="1407" uniqueCount="980">
  <si>
    <t>How the Workbook is Organized</t>
  </si>
  <si>
    <t>Particle cost model (tabs 1-4): what it costs to produce and spray particles</t>
  </si>
  <si>
    <t>1. Technology Description: the spray machine. CCN product = 30-1000 nm particles (Harrison 2025 convention).</t>
  </si>
  <si>
    <t>2. Cost Inputs: the blue input cells (capital, energy, crew, unit costs).</t>
  </si>
  <si>
    <t>3a. Outputs - Dedicated Vessel: levelized cost per tonne of aerosol (the anchor number).</t>
  </si>
  <si>
    <t>3b/3c/3d: cheaper siting and delivery vs a dedicated vessel (piggyback, fixed platform, stationary).</t>
  </si>
  <si>
    <t>4. Scenario Comparison: levelized cost per tonne of aerosol across 3a-3d, all side by side.</t>
  </si>
  <si>
    <t>Cooling Costs and Benefit (tabs 5-6): what the cooling is worth.</t>
  </si>
  <si>
    <t>5a/5b: $/tonne into $/unit cooling, the model the benefit tabs read (5a); sensitivity tornado of that answer (5b).</t>
  </si>
  <si>
    <t>Out of Scope: Monitoring, Reporting, Verification (MRV)</t>
  </si>
  <si>
    <t>LEGEND</t>
  </si>
  <si>
    <t>System Definition</t>
  </si>
  <si>
    <t>Particle Production</t>
  </si>
  <si>
    <t>Quantity</t>
  </si>
  <si>
    <t>Value</t>
  </si>
  <si>
    <t>Unit</t>
  </si>
  <si>
    <t>Notes / Source</t>
  </si>
  <si>
    <t>Sources</t>
  </si>
  <si>
    <t>Particle output</t>
  </si>
  <si>
    <t>particles/s</t>
  </si>
  <si>
    <t>Harrison et al. 2025, Environ. Sci.: Atmos. 5, 1071-1080 (doi:10.1039/d5ea00073d, OA; RSC blocks automated download, get PDF via DOI): ~1.73e12 droplets/s per nozzle. Cross-checks from files held: CS-06 Final Report 2025, p.24: the 2020 sea trial made "an estimated 2.7 x 10^14 droplets per second" from a "100 nozzle fan driven array [that] matched that of a single nozzle characterised under laboratory conditions" (about 2.7e12 per nozzle); CS-06 p.1: current prototype "~10^15 s-1 sea salt aerosols using 320 kilowatts (kW) of energy" (about 1.6e12 per nozzle over 640 nozzles).</t>
  </si>
  <si>
    <t>CCN-production window fraction (30-1000 nm)</t>
  </si>
  <si>
    <t>Harrison 2025 (doi:10.1039/d5ea00073d): CCN production rate = counts in the 30-1000 nm window (~71%). No separate activation cut (would double-count). Field target window is tighter, CS-06 Final Report 2025, p.12, Fig. 5 caption: "Green shading indicates a MCB target range of 30-800 nm dry diameter."</t>
  </si>
  <si>
    <t>Dry particle diameter</t>
  </si>
  <si>
    <t>nm</t>
  </si>
  <si>
    <t>Particles per tonne of salt</t>
  </si>
  <si>
    <t>particles/tonne</t>
  </si>
  <si>
    <t>Field count runs ~15% higher than the lab math (2020 GBR trial; Hernandez-Jaramillo 2025), so cooling cost may come out slightly high. Tab 5a pulls this cell.</t>
  </si>
  <si>
    <t>Mass per dry particle</t>
  </si>
  <si>
    <t>kg</t>
  </si>
  <si>
    <t>Sphere volume x dry NaCl density 2160 kg/m3.</t>
  </si>
  <si>
    <t>CCN-production output (30-1000 nm window)</t>
  </si>
  <si>
    <t>g/day</t>
  </si>
  <si>
    <t>Energy</t>
  </si>
  <si>
    <t>Power</t>
  </si>
  <si>
    <t>W</t>
  </si>
  <si>
    <t>Efficiency: energy per tonne of aerosol</t>
  </si>
  <si>
    <t>kWh/tonne</t>
  </si>
  <si>
    <t>x power price = marginal $/tonne (~$9,100 at $0.30/kWh diesel). CS-06's ARIEL is roughly equal per-particle; CS-06 wants a further ~10x.</t>
  </si>
  <si>
    <t>Water Handling</t>
  </si>
  <si>
    <t>Seawater flow rate</t>
  </si>
  <si>
    <t>mL/s</t>
  </si>
  <si>
    <t>Harrison 2025 (doi:10.1039/d5ea00073d): ~1.73e12 droplets/s from 0.41 mL/s filtered seawater + 0.3 L/s air per nozzle. Field rigs run lower per nozzle: ERL 2025 (doi:10.1088/1748-9326/adccd7), p.2: "320 effervescent nozzles ... assembled into 5 manifold towers atomising a total of 68 ml s-1 of seawater" (about 0.21 mL/s each). Per-second value; next row converts to daily.</t>
  </si>
  <si>
    <t>Seawater sprayed</t>
  </si>
  <si>
    <t>L/day</t>
  </si>
  <si>
    <t>0.41 mL/s x 86,400 = per-day volume, converted once here so downstream stays in day-units. Only ~3.5% is salt.</t>
  </si>
  <si>
    <t>Seawater intensity</t>
  </si>
  <si>
    <t>m3/tonne</t>
  </si>
  <si>
    <t>Process Flow</t>
  </si>
  <si>
    <t>Seawater
intake</t>
  </si>
  <si>
    <t>↓</t>
  </si>
  <si>
    <t>Filtration
+ UV</t>
  </si>
  <si>
    <t>Pressurize seawater</t>
  </si>
  <si>
    <t>Compress air</t>
  </si>
  <si>
    <t>Effervescent
nozzle</t>
  </si>
  <si>
    <t>Evaporation</t>
  </si>
  <si>
    <t>Dry sea-salt
aerosol</t>
  </si>
  <si>
    <t>Aerosol Delivery</t>
  </si>
  <si>
    <t>Cloud Susceptibility</t>
  </si>
  <si>
    <t>Cloud Radiative Effect</t>
  </si>
  <si>
    <t>Surface Energy Budget Sensitivity</t>
  </si>
  <si>
    <t>Cooling Conversion</t>
  </si>
  <si>
    <t>General Parameters</t>
  </si>
  <si>
    <t>Equipment availability</t>
  </si>
  <si>
    <t>fraction</t>
  </si>
  <si>
    <t>Mechanical uptime of the system, accounting for repairs and maintenance downtime</t>
  </si>
  <si>
    <t>Assumption (mechanical uptime target).</t>
  </si>
  <si>
    <t>Project lifetime</t>
  </si>
  <si>
    <t>years</t>
  </si>
  <si>
    <t>Hardware life</t>
  </si>
  <si>
    <t>Assumption (hardware life).</t>
  </si>
  <si>
    <t>Discount rate</t>
  </si>
  <si>
    <t>Cost of capital</t>
  </si>
  <si>
    <t>Assumption (cost of capital).</t>
  </si>
  <si>
    <t>Equipment Sizing</t>
  </si>
  <si>
    <t>Aerosol per nozzle per year</t>
  </si>
  <si>
    <t>tonnes/yr</t>
  </si>
  <si>
    <t>g/day x 365 x equipment availability, to tonnes</t>
  </si>
  <si>
    <t>Nozzle count (per vessel-unit)</t>
  </si>
  <si>
    <t>nozzles</t>
  </si>
  <si>
    <t>Spray power per vessel-unit</t>
  </si>
  <si>
    <t>Annual production per vessel-unit (equipment basis)</t>
  </si>
  <si>
    <t>Nozzle count x aerosol per nozzle-year (equipment basis)</t>
  </si>
  <si>
    <t>Operating Expenditure (annual)</t>
  </si>
  <si>
    <t>1. Raw Materials</t>
  </si>
  <si>
    <t>Amount</t>
  </si>
  <si>
    <t>Cost/Unit</t>
  </si>
  <si>
    <t>Seawater</t>
  </si>
  <si>
    <t>L/tonne</t>
  </si>
  <si>
    <t>Drawn from the sea</t>
  </si>
  <si>
    <t>Structural: seawater drawn at sea, no purchase cost.</t>
  </si>
  <si>
    <t>2. Process Energy</t>
  </si>
  <si>
    <t>Energy (compression, atomizes wet seawater)</t>
  </si>
  <si>
    <t>Power x 24h per nozzle / aerosol per nozzle.</t>
  </si>
  <si>
    <t>Derived: tab-1 nozzle power (Harrison 2025) x 24 h x energy price assumption.</t>
  </si>
  <si>
    <t>Vessel propulsion burn (underway)</t>
  </si>
  <si>
    <t>PSV cruise ~16.4 m3/day at 10 kn, 22.7 at 12 kn (UT 755L); Adland PSV average ~9.3 t/day.</t>
  </si>
  <si>
    <t>Vessel hotel burn (at rest / on station)</t>
  </si>
  <si>
    <t>Hotel plus light station-keeping.</t>
  </si>
  <si>
    <t>Fuel tank capacity</t>
  </si>
  <si>
    <t>L</t>
  </si>
  <si>
    <t>Seawater pumping + filtration + UV</t>
  </si>
  <si>
    <t>Lift, filter, UV-treat seawater before atomizing. Scales with wet volume (~87 m3 per dry tonne).</t>
  </si>
  <si>
    <t>Assumption: scales with wet volume (~87 m3 per dry tonne).</t>
  </si>
  <si>
    <t>3. Labor</t>
  </si>
  <si>
    <t>Crew</t>
  </si>
  <si>
    <t>crew</t>
  </si>
  <si>
    <t>Assumption: 6 crew per vessel.</t>
  </si>
  <si>
    <t>4. Fixed Operating Expenditure</t>
  </si>
  <si>
    <t>Maintenance &amp; insurance</t>
  </si>
  <si>
    <t>of capex/yr</t>
  </si>
  <si>
    <t>5% maintenance + 2% insurance</t>
  </si>
  <si>
    <t>Assumption: 5% maintenance + 2% insurance of capital.</t>
  </si>
  <si>
    <t>Capital Expenditure</t>
  </si>
  <si>
    <t>5. Purchased Equipment</t>
  </si>
  <si>
    <t>Nozzles &amp; manifolds</t>
  </si>
  <si>
    <t>Compression + generation</t>
  </si>
  <si>
    <t>kW</t>
  </si>
  <si>
    <t>Seawater intake/filtration/UV</t>
  </si>
  <si>
    <t>per vessel</t>
  </si>
  <si>
    <t>Vessel structure &amp; integration</t>
  </si>
  <si>
    <t>Assumption: nothing published exists for installing a ~1,000-nozzle spray array. Set at 25% of vessel cost.</t>
  </si>
  <si>
    <t>Vessel purchase</t>
  </si>
  <si>
    <t>vessels</t>
  </si>
  <si>
    <t>Newbuild 70-80 m PSV (Clarksons basis), sized for the ~3 MW spray plant. Platform = ~6-7 such vessels (sizing block below).</t>
  </si>
  <si>
    <t>Total purchased equipment</t>
  </si>
  <si>
    <t>6. Contingency &amp; Indirect Capital</t>
  </si>
  <si>
    <t>Fraction</t>
  </si>
  <si>
    <t>Engineering &amp; supervision</t>
  </si>
  <si>
    <t>Assumption (share of capital).</t>
  </si>
  <si>
    <t>Installation &amp; commissioning</t>
  </si>
  <si>
    <t>Marinization premium</t>
  </si>
  <si>
    <t>Corrosion, classification, maintenance access; applied to equipment, not the vessel.</t>
  </si>
  <si>
    <t>Assumption (marinization premium on equipment).</t>
  </si>
  <si>
    <t>Process contingency</t>
  </si>
  <si>
    <t>Assumption (process contingency).</t>
  </si>
  <si>
    <t>Total capex</t>
  </si>
  <si>
    <t>Output Sheet</t>
  </si>
  <si>
    <t>Annualized Cost Build-up</t>
  </si>
  <si>
    <t>Key Metrics</t>
  </si>
  <si>
    <t>Component</t>
  </si>
  <si>
    <t>Annual cost</t>
  </si>
  <si>
    <t>$/tonne of aerosol</t>
  </si>
  <si>
    <t>% of total</t>
  </si>
  <si>
    <t>Metric</t>
  </si>
  <si>
    <t>Capital recovery factor</t>
  </si>
  <si>
    <t>Levelized cost of aerosol</t>
  </si>
  <si>
    <t>Annualized capital</t>
  </si>
  <si>
    <t>Annual aerosol production</t>
  </si>
  <si>
    <t>$</t>
  </si>
  <si>
    <t>Seawater pumping + filtration</t>
  </si>
  <si>
    <t>Total annual cost</t>
  </si>
  <si>
    <t>$/yr</t>
  </si>
  <si>
    <t>Seawater feedstock</t>
  </si>
  <si>
    <t>Nozzles per system</t>
  </si>
  <si>
    <t>Operating days per year</t>
  </si>
  <si>
    <t>days/yr</t>
  </si>
  <si>
    <t>Spray power</t>
  </si>
  <si>
    <t>Vessel energy</t>
  </si>
  <si>
    <t>Capex share of annual cost</t>
  </si>
  <si>
    <t>Total Annual Cost</t>
  </si>
  <si>
    <t>Variable cost share</t>
  </si>
  <si>
    <t>Cost per delivered tonne</t>
  </si>
  <si>
    <t>$/tonne delivered at cloud base</t>
  </si>
  <si>
    <t>Mission &amp; Endurance</t>
  </si>
  <si>
    <t>Spray time - moving (underway)</t>
  </si>
  <si>
    <t>% of avail. time</t>
  </si>
  <si>
    <t>Spraying while the vessel is underway - the dedicated vessel sprays on the move</t>
  </si>
  <si>
    <t>Assumption: dedicated vessel sprays underway.</t>
  </si>
  <si>
    <t>Spray time - on station</t>
  </si>
  <si>
    <t>Spraying while holding station; zero for the dedicated vessel</t>
  </si>
  <si>
    <t>Assumption: zero on-station for this scenario.</t>
  </si>
  <si>
    <t>Transit time (no spray)</t>
  </si>
  <si>
    <t>Repositioning between spray areas plus refuel legs; only propulsion+hotel burn</t>
  </si>
  <si>
    <t>Assumption: repositioning + refuel legs.</t>
  </si>
  <si>
    <t>days</t>
  </si>
  <si>
    <t>= (spray + transit) % of available time x 365 x equipment availability</t>
  </si>
  <si>
    <t>Effective production</t>
  </si>
  <si>
    <t>= spray % x equipment-basis annual production (availability already applied)</t>
  </si>
  <si>
    <t>Endurance per tank</t>
  </si>
  <si>
    <t>90% of tank at combined underway burn (propulsion + hotel)</t>
  </si>
  <si>
    <t>Vessel fuel per year (propulsion)</t>
  </si>
  <si>
    <t>L/yr</t>
  </si>
  <si>
    <t>= (spray-moving + transit) % x 365 x availability x underway burn</t>
  </si>
  <si>
    <t>Hotel fuel per year</t>
  </si>
  <si>
    <t>= operating days x hotel burn</t>
  </si>
  <si>
    <t>Levelized cost per tonne of aerosol</t>
  </si>
  <si>
    <t>Cost build-up with every tornado input at worst / base / best. Particle size fixed; only power per unit varies for nozzle improvements.</t>
  </si>
  <si>
    <t>Pessimistic</t>
  </si>
  <si>
    <t>Base</t>
  </si>
  <si>
    <t>Optimistic</t>
  </si>
  <si>
    <t>Production (t/yr)</t>
  </si>
  <si>
    <t>Energy intensity (kWh/tonne)</t>
  </si>
  <si>
    <t>Total capex ($)</t>
  </si>
  <si>
    <t>Annualized capital ($/yr)</t>
  </si>
  <si>
    <t>Spray energy ($/yr)</t>
  </si>
  <si>
    <t>Seawater pumping + UV ($/yr)</t>
  </si>
  <si>
    <t>Crew ($/yr)</t>
  </si>
  <si>
    <t>Maintenance &amp; insurance ($/yr)</t>
  </si>
  <si>
    <t>Vessel energy ($/yr)</t>
  </si>
  <si>
    <t>Levelized cost ($/tonne)</t>
  </si>
  <si>
    <t>Sensitivity Analysis</t>
  </si>
  <si>
    <t>Tornado Diagram Inputs</t>
  </si>
  <si>
    <t>Variable</t>
  </si>
  <si>
    <t>Base Case</t>
  </si>
  <si>
    <t>Units</t>
  </si>
  <si>
    <t>Description</t>
  </si>
  <si>
    <t>Live calc, drives the tornado (safe to hide columns R:AS)</t>
  </si>
  <si>
    <t>Power per unit</t>
  </si>
  <si>
    <t>Worst = 1.5x (degradation/losses). Best = 0.1x miracle machine (electrospray-class): same rate at one-tenth power.</t>
  </si>
  <si>
    <t>d</t>
  </si>
  <si>
    <t>util</t>
  </si>
  <si>
    <t>disc</t>
  </si>
  <si>
    <t>nozcost</t>
  </si>
  <si>
    <t>compcost</t>
  </si>
  <si>
    <t>vescost</t>
  </si>
  <si>
    <t>maint</t>
  </si>
  <si>
    <t>eprice</t>
  </si>
  <si>
    <t>vfuel</t>
  </si>
  <si>
    <t>Particle output rate</t>
  </si>
  <si>
    <t>Harrison et al. 2025: field count rate runs ~15% above the lab value (2020 GBR trial vs CS-06 bench); +/-15% band.</t>
  </si>
  <si>
    <t>Vessel fuel/yr</t>
  </si>
  <si>
    <t>L/vessel/yr</t>
  </si>
  <si>
    <t>Propulsion + hotel, dedicated vessel</t>
  </si>
  <si>
    <t>Crew cost</t>
  </si>
  <si>
    <t>$/person</t>
  </si>
  <si>
    <t>Annual loaded cost per crew</t>
  </si>
  <si>
    <t>Annual utilization</t>
  </si>
  <si>
    <t>Spray-time fraction of year</t>
  </si>
  <si>
    <t>Nozzle unit cost</t>
  </si>
  <si>
    <t>$/nozzle</t>
  </si>
  <si>
    <t>vessel fuel best</t>
  </si>
  <si>
    <t>Vessel cost</t>
  </si>
  <si>
    <t>$/vessel</t>
  </si>
  <si>
    <t>Spray vessel purchase + integration, per vessel</t>
  </si>
  <si>
    <t>crew worst</t>
  </si>
  <si>
    <t>Maintenance %</t>
  </si>
  <si>
    <t>Maintenance + insurance rate</t>
  </si>
  <si>
    <t>util worst</t>
  </si>
  <si>
    <t>Energy price</t>
  </si>
  <si>
    <t>$/kWh</t>
  </si>
  <si>
    <t>Marine diesel price</t>
  </si>
  <si>
    <t>util best</t>
  </si>
  <si>
    <t>Compressor $/kW</t>
  </si>
  <si>
    <t>$/kW</t>
  </si>
  <si>
    <t>HP compressor + genset</t>
  </si>
  <si>
    <t>nozzle cost worst</t>
  </si>
  <si>
    <t>vessel cost worst</t>
  </si>
  <si>
    <t>Tornado chart data (helper)</t>
  </si>
  <si>
    <t>vessel cost best</t>
  </si>
  <si>
    <t>spacer (hidden)</t>
  </si>
  <si>
    <t>cost-reducing span</t>
  </si>
  <si>
    <t>cost-raising span</t>
  </si>
  <si>
    <t>max (label helper)</t>
  </si>
  <si>
    <t>maint worst</t>
  </si>
  <si>
    <t>maint best</t>
  </si>
  <si>
    <t>disc worst</t>
  </si>
  <si>
    <t>disc best</t>
  </si>
  <si>
    <t>energy price worst</t>
  </si>
  <si>
    <t>energy price best</t>
  </si>
  <si>
    <t>compressor worst</t>
  </si>
  <si>
    <t>compressor best</t>
  </si>
  <si>
    <t>Particle rate worst</t>
  </si>
  <si>
    <t>Particle rate best</t>
  </si>
  <si>
    <t>PPS worst</t>
  </si>
  <si>
    <t>PPS best</t>
  </si>
  <si>
    <t>Container Ship Piggyback Scenario</t>
  </si>
  <si>
    <t>Piggyback Assumptions</t>
  </si>
  <si>
    <t>Notes</t>
  </si>
  <si>
    <t>Containerized mounting capital per vessel</t>
  </si>
  <si>
    <t>Gear mounting and integration only, no hull purchased</t>
  </si>
  <si>
    <t>Assumption: gear mounting and integration only, no hull purchased.</t>
  </si>
  <si>
    <t>Technicians per vessel</t>
  </si>
  <si>
    <t>people</t>
  </si>
  <si>
    <t>Ship crew already covered</t>
  </si>
  <si>
    <t>Assumption: 3 technicians per vessel.</t>
  </si>
  <si>
    <t>Technician annual cost</t>
  </si>
  <si>
    <t>Loaded annual cost</t>
  </si>
  <si>
    <t>Assumption (loaded annual cost).</t>
  </si>
  <si>
    <t>Assumption within noted range: grid ~$0.10-0.15, marine diesel generation ~$0.20-0.35/kWh.</t>
  </si>
  <si>
    <t>Spray-train energy (compression + atomization)</t>
  </si>
  <si>
    <t>kWh/tonne x shipboard price x annual production</t>
  </si>
  <si>
    <t>Deck-slot rental per vessel per year</t>
  </si>
  <si>
    <t>$/vessel/yr</t>
  </si>
  <si>
    <t>Assumption</t>
  </si>
  <si>
    <t>Assumption (deck-slot rental per vessel-year).</t>
  </si>
  <si>
    <t>% of available time spraying; host vessel is underway on its route regardless</t>
  </si>
  <si>
    <t>Assumption: host vessel underway on its route regardless.</t>
  </si>
  <si>
    <t>Zero: host vessel does not hold station to spray</t>
  </si>
  <si>
    <t>Structural zero: host vessel does not hold station to spray.</t>
  </si>
  <si>
    <t>Zero: no dedicated transit legs - host vessel is on its route</t>
  </si>
  <si>
    <t>Structural zero: no dedicated transit legs.</t>
  </si>
  <si>
    <t>Fuel &amp; endurance</t>
  </si>
  <si>
    <t>Host vessel carries fuel; deck-slot rental covers logistics; no tank endurance limit</t>
  </si>
  <si>
    <t>Recomputed Levelized Cost</t>
  </si>
  <si>
    <t>Nozzles &amp; compression capex</t>
  </si>
  <si>
    <t>Seawater skid + mounting</t>
  </si>
  <si>
    <t>Skid + container mounting, no hull (single vessel)</t>
  </si>
  <si>
    <t>Total capex (x1.8 contingency)</t>
  </si>
  <si>
    <t>Technician (replaces crew)</t>
  </si>
  <si>
    <t>Deck-slot rental</t>
  </si>
  <si>
    <t>Levelized Cost per Tonne</t>
  </si>
  <si>
    <t>Container Ship vs Dedicated Vessel</t>
  </si>
  <si>
    <t>Dedicated vessel: $/tonne of aerosol</t>
  </si>
  <si>
    <t>From main model</t>
  </si>
  <si>
    <t>Container ship: $/tonne of aerosol</t>
  </si>
  <si>
    <t>Cost relative to dedicated vessel</t>
  </si>
  <si>
    <t>Fixed Coastal Platform Scenario</t>
  </si>
  <si>
    <t>Fixed platforms: stay put, run continuously, shore or renewable power, no propulsion fuel. Cable to shore not priced: beyond a few km it can rival platform capex (~$0.8-1.5M/km HVAC export, install +30-60%, 2025-26 market data).</t>
  </si>
  <si>
    <t>Platform Assumptions</t>
  </si>
  <si>
    <t>Platform capital per unit</t>
  </si>
  <si>
    <t>$/platform</t>
  </si>
  <si>
    <t>Moored buoy / small jack-up / repurposed barge with mooring. Assumption: purpose-built marine structure, far above a $50k container slot.</t>
  </si>
  <si>
    <t>Assumption: moored buoy / small jack-up / repurposed barge with mooring.</t>
  </si>
  <si>
    <t>Technicians per platform</t>
  </si>
  <si>
    <t>Largely automated; periodic maintenance from shore. Closer to the piggyback technician model than a 6-person crew.</t>
  </si>
  <si>
    <t>Assumption: largely automated, periodic maintenance from shore.</t>
  </si>
  <si>
    <t>Loaded annual cost incl. boat transfers for maintenance trips.</t>
  </si>
  <si>
    <t>Assumption (includes boat transfers for maintenance trips).</t>
  </si>
  <si>
    <t>Shore power price</t>
  </si>
  <si>
    <t>Shore power, cheaper than marine diesel ($0.30/kWh). Set to 0.30 to model diesel gensets.</t>
  </si>
  <si>
    <t>Assumption: shore-power price; set to 0.30 to model diesel gensets.</t>
  </si>
  <si>
    <t>Siting + permitting per platform</t>
  </si>
  <si>
    <t>New: environmental review, marine permits, consultation near a populated coast. Amortized as capital.</t>
  </si>
  <si>
    <t>Assumption: environmental review, marine permits, consultation near a populated coast.</t>
  </si>
  <si>
    <t>Mooring + station-keeping O&amp;M</t>
  </si>
  <si>
    <t>$/platform/yr</t>
  </si>
  <si>
    <t>New annual cost: mooring inspection, anti-fouling, station-keeping for a fixed marine structure.</t>
  </si>
  <si>
    <t>Assumption: mooring inspection, anti-fouling, station-keeping O&amp;M.</t>
  </si>
  <si>
    <t>Zero: fixed platform does not move</t>
  </si>
  <si>
    <t>Structural zero: fixed platform does not move.</t>
  </si>
  <si>
    <t>% of available time spraying; platform is permanently on station</t>
  </si>
  <si>
    <t>Assumption: platform permanently on station.</t>
  </si>
  <si>
    <t>Zero: fixed platform has no transit</t>
  </si>
  <si>
    <t>Structural zero: no transit legs.</t>
  </si>
  <si>
    <t>Shore-powered; no fuel endurance limit; crew access in suitable weather windows</t>
  </si>
  <si>
    <t>Seawater skid</t>
  </si>
  <si>
    <t>Intake/filtration/UV skid, one per platform-edge (single platform)</t>
  </si>
  <si>
    <t>Platform structure + siting</t>
  </si>
  <si>
    <t>Fixed offshore structure + permitting, single platform</t>
  </si>
  <si>
    <t>Total capex (contingency stack)</t>
  </si>
  <si>
    <t>Energy (shore power)</t>
  </si>
  <si>
    <t>Automated platform, minimal staffing</t>
  </si>
  <si>
    <t>Same 7% of capex as main model</t>
  </si>
  <si>
    <t>Fixed Platform vs Other Sitings</t>
  </si>
  <si>
    <t>Fixed platform: $/tonne of aerosol</t>
  </si>
  <si>
    <t>Stationary Vessel Scenario</t>
  </si>
  <si>
    <t>Transit to position, then hold station. Fuel = hotel burn all days + propulsion on transit days.</t>
  </si>
  <si>
    <t>Zero: this vessel does not spray while underway</t>
  </si>
  <si>
    <t>Structural zero: does not spray while underway.</t>
  </si>
  <si>
    <t>Spraying while holding station</t>
  </si>
  <si>
    <t>Assumption: sprays while holding station.</t>
  </si>
  <si>
    <t>Steam out and back; one round trip per year</t>
  </si>
  <si>
    <t>Assumption: steam out and back, one round trip per year.</t>
  </si>
  <si>
    <t>Endurance per tank (on station)</t>
  </si>
  <si>
    <t>90% of tank at hotel burn only - about 11 months on station</t>
  </si>
  <si>
    <t>Missions per year (tank-limited)</t>
  </si>
  <si>
    <t>missions</t>
  </si>
  <si>
    <t>Returns to port to refuel this many times</t>
  </si>
  <si>
    <t>Transit fuel per year</t>
  </si>
  <si>
    <t>Energy (spray)</t>
  </si>
  <si>
    <t>Vessel energy (hotel + transit)</t>
  </si>
  <si>
    <t>(operating days x hotel burn + moving days x underway burn) x diesel price</t>
  </si>
  <si>
    <t>Stationary vs Moving Vessel</t>
  </si>
  <si>
    <t>Moving vessel: $/tonne of aerosol (tab 3a)</t>
  </si>
  <si>
    <t>Stationary vessel: $/tonne of aerosol</t>
  </si>
  <si>
    <t>Saving vs moving vessel</t>
  </si>
  <si>
    <t>$/tonne</t>
  </si>
  <si>
    <t>Cost relative to moving vessel</t>
  </si>
  <si>
    <t>Cost of Cooling: Cost per Unit of Cooling Produced</t>
  </si>
  <si>
    <t>Converts cost per tonne of aerosol (from the TEA) into cost per unit of cooling, using the particle-size physics below.</t>
  </si>
  <si>
    <t>Survival factor</t>
  </si>
  <si>
    <t>Fraction surviving in-plume coagulation/deposition to cloud base. Open research gap (2025 plume review; CS-06 targets it). Range 0.1-0.5.</t>
  </si>
  <si>
    <t>Boundary-layer mixing depth</t>
  </si>
  <si>
    <t>m</t>
  </si>
  <si>
    <t>Measured: plumes reached cloud base at 825-900 m across five GBR campaigns (CS-06 Final Report 2025).</t>
  </si>
  <si>
    <t>Cloud susceptibility</t>
  </si>
  <si>
    <t>#/tonne</t>
  </si>
  <si>
    <t>From tab 1</t>
  </si>
  <si>
    <t>Background cloud droplet number</t>
  </si>
  <si>
    <t>/cm3</t>
  </si>
  <si>
    <t>Natural marine background. CS-06 2025 p.34: GBR runs 50-200/cm3, most common ~100.</t>
  </si>
  <si>
    <t>Required droplet addition</t>
  </si>
  <si>
    <t>Spray up to the measured ceiling: 200 total - 100 background = add 100/cm3. Ceiling measured, CS-06 p.34.</t>
  </si>
  <si>
    <t>Area per tonne</t>
  </si>
  <si>
    <t>km2/tonne</t>
  </si>
  <si>
    <t>Particles available / needed per km2. Not applied as a factor: ~9 in 100 windowed arrivals don't activate at 0.5% SS (field-measured, ERL 2025); worse at 0.2% SS.</t>
  </si>
  <si>
    <t>Critical activation diameter (Köhler threshold)</t>
  </si>
  <si>
    <t>Hernandez-Jaramillo 2025 (ERL): ~50 nm activates at 0.5% SS over the GBR; ~73 nm at 0.2% SS (trade-cumulus Hoppel minimum).</t>
  </si>
  <si>
    <t>Cloud-top shortwave (daytime)</t>
  </si>
  <si>
    <t>W/m2</t>
  </si>
  <si>
    <t>Downwelling SW at cloud top, daytime marine. 24h-mean is lower; this is the active-cooling value.</t>
  </si>
  <si>
    <t>Marine cloud albedo</t>
  </si>
  <si>
    <t>-</t>
  </si>
  <si>
    <t>Stratocumulus deck albedo, ~0.5.</t>
  </si>
  <si>
    <t>Droplet-number enhancement</t>
  </si>
  <si>
    <t>x</t>
  </si>
  <si>
    <t>Droplet-number enhancement vs background, capped at the measured ~200/cm3 ceiling (CS-06 p.34) = 200/background = 2.0x here.</t>
  </si>
  <si>
    <t>Local forcing under brightened cloud</t>
  </si>
  <si>
    <t>Twomey: Fsw x Ac x (1-Ac) x (1/3) x ln(Nd ratio)</t>
  </si>
  <si>
    <t>Daytime averaging</t>
  </si>
  <si>
    <t>Daytime averaging ~0.4: brightening only reflects sun by day, so 24-h forcing is ~0.3-0.5 of peak.</t>
  </si>
  <si>
    <t>Assumption (daytime-averaging factor ~0.4).</t>
  </si>
  <si>
    <t>Cloud availability</t>
  </si>
  <si>
    <t>CS-01 Final Report 2025, p.11: susceptible low cloud in summer '20% at the north and increases to 55% at the south'.</t>
  </si>
  <si>
    <t>Realization Factor</t>
  </si>
  <si>
    <t>Daytime averaging x cloud availability</t>
  </si>
  <si>
    <t>Surface energy budget sensitivity</t>
  </si>
  <si>
    <t>Aerosol lifetime</t>
  </si>
  <si>
    <t>Boundary-layer residence (uncertain)</t>
  </si>
  <si>
    <t>Assumption (boundary-layer residence; uncertain).</t>
  </si>
  <si>
    <t>Local temperature sensitivity</t>
  </si>
  <si>
    <t>degC/(W/m2)</t>
  </si>
  <si>
    <t>Local forcing to local surface cooling. Harrison et al. 2019, RRAP T14 report.</t>
  </si>
  <si>
    <t>From the Aerosol TEA</t>
  </si>
  <si>
    <t>Source</t>
  </si>
  <si>
    <t>Headline from the TEA Outputs tab</t>
  </si>
  <si>
    <t>Cooling produced per tonne of aerosol</t>
  </si>
  <si>
    <t>degC-ha-days/tonne</t>
  </si>
  <si>
    <t>local forcing x local temperature sensitivity x area (ha) x lifetime (days) x realization</t>
  </si>
  <si>
    <t>Cost of cooling produced</t>
  </si>
  <si>
    <t>$/degC-ha-day</t>
  </si>
  <si>
    <t>Aerosol cost / cooling per tonne</t>
  </si>
  <si>
    <t>Cooling-Value Sensitivity: Cost per Unit of Cooling</t>
  </si>
  <si>
    <t>One-way sensitivity of cost per degC-ha-day to model and cost drivers.</t>
  </si>
  <si>
    <t>Sensitivity: what Moves the Cost per Unit Cooling</t>
  </si>
  <si>
    <t>One-way sensitivity of cost per degC-ha-day. Model drivers scale cooling directly (the 3a tornado can't see them); cost drivers pull live from 3a. Survival is the dominant, softest bar. Particle size fixed at 150 nm.</t>
  </si>
  <si>
    <t>Driver</t>
  </si>
  <si>
    <t>Downside input</t>
  </si>
  <si>
    <t>Upside input</t>
  </si>
  <si>
    <t>at downside ($)</t>
  </si>
  <si>
    <t>at base ($)</t>
  </si>
  <si>
    <t>at upside ($)</t>
  </si>
  <si>
    <t>Swing ($)</t>
  </si>
  <si>
    <t>tail (hidden)</t>
  </si>
  <si>
    <t>Model: Marine cloud albedo</t>
  </si>
  <si>
    <t>Cost: Energy price</t>
  </si>
  <si>
    <t>Cost: Vessel cost</t>
  </si>
  <si>
    <t>Cost: Nozzle unit cost</t>
  </si>
  <si>
    <t>Cost: Annual utilization</t>
  </si>
  <si>
    <t>Cost: Crew cost</t>
  </si>
  <si>
    <t>Model: Cloud-top shortwave</t>
  </si>
  <si>
    <t>Model: Droplet-number enhancement</t>
  </si>
  <si>
    <t>Model: Aerosol lifetime</t>
  </si>
  <si>
    <t>Model: Temperature sensitivity</t>
  </si>
  <si>
    <t>Model: Cooling realization factor</t>
  </si>
  <si>
    <t>Model: Survival factor</t>
  </si>
  <si>
    <t>Local Benefits: Reef-Wide Brightening (Reef Cooling)</t>
  </si>
  <si>
    <t>Reef-wide deployment on a chartered seasonal fleet: pay only for the bleaching season. Same-day cooling credit only, no persistence or fleet-mobility bonus. Harrison 2019 below as optimistic gut check.</t>
  </si>
  <si>
    <t>Local on-target delivery factor</t>
  </si>
  <si>
    <t>Fraction of sprayed cooling reaching target reef waters (rest drifts off). Same factor on tab 5d.</t>
  </si>
  <si>
    <t>Assumption (same factor as 5d).</t>
  </si>
  <si>
    <t>Our Calculation - Deployment and Cost (Chartered Fleet)</t>
  </si>
  <si>
    <t>Input</t>
  </si>
  <si>
    <t>Source / basis</t>
  </si>
  <si>
    <t>Reef area cooled</t>
  </si>
  <si>
    <t>km2</t>
  </si>
  <si>
    <t>GBR shallow-reef area, ~3 million ha. Reef-wide domain per Harrison et al. 2019.</t>
  </si>
  <si>
    <t>Marine heatwave duration</t>
  </si>
  <si>
    <t>≈ Harrison's Dec 1 - Apr 30 stress window (151 days ≈ 21.6 weeks). Matches the Zhao tab. Replaces the made-up 12 weeks.</t>
  </si>
  <si>
    <t>Peak per-cloud shortwave reduction</t>
  </si>
  <si>
    <t>Tab-5a nozzle physics. Per-cloud peak exceeds the reef-wide average under either accounting.</t>
  </si>
  <si>
    <t>Event-average forcing, our accounting</t>
  </si>
  <si>
    <t>Tab-5a peak x realization factor (daylight x seedable-cloud availability). Same-day credit only.</t>
  </si>
  <si>
    <t>Bleaching-stress relief implied</t>
  </si>
  <si>
    <t>Coverage per tonne</t>
  </si>
  <si>
    <t>Tab 5a area-per-tonne derivation.</t>
  </si>
  <si>
    <t>Tonnes per heatwave</t>
  </si>
  <si>
    <t>tonnes</t>
  </si>
  <si>
    <t>Area / coverage per tonne x 3-day cycles over the heatwave / delivery factor. First-principles event tonnage.</t>
  </si>
  <si>
    <t>Per-vessel output during event</t>
  </si>
  <si>
    <t>Annual per-vessel-unit production (3a, 33% utilization) x event fraction. Vessel-unit = tab-2 layout (~5,780 nozzles).</t>
  </si>
  <si>
    <t>Vessels required for the event</t>
  </si>
  <si>
    <t>Event tonnage / per-vessel event output.</t>
  </si>
  <si>
    <t>Charter rate, bareboat workboat class</t>
  </si>
  <si>
    <t>$/vessel/week</t>
  </si>
  <si>
    <t>Season charter cost</t>
  </si>
  <si>
    <t>Temporary mounting &amp; removal</t>
  </si>
  <si>
    <t>Tab-3b containerized mounting per vessel, install + removal.</t>
  </si>
  <si>
    <t>Seasonal operating (spray energy + technicians)</t>
  </si>
  <si>
    <t>Spray energy + one technician per vessel for the season. Charter includes crew and hull.</t>
  </si>
  <si>
    <t>Cost per hectare</t>
  </si>
  <si>
    <t>$/ha</t>
  </si>
  <si>
    <t>Linear in area; same $/ha at any scale.</t>
  </si>
  <si>
    <t>Reef ROI</t>
  </si>
  <si>
    <t>Bleaching-stress relief, 2015/16 event</t>
  </si>
  <si>
    <t>Harrison et al. 2019, modeled.</t>
  </si>
  <si>
    <t>Bleaching-stress relief, 2016/17 event</t>
  </si>
  <si>
    <t>Adopted relief (Harrison)</t>
  </si>
  <si>
    <t>Average of the two events.</t>
  </si>
  <si>
    <t>Calculated: average of the two T14 events (0.5, 0.65).</t>
  </si>
  <si>
    <t>Reef total asset value</t>
  </si>
  <si>
    <t>$ billion (USD)</t>
  </si>
  <si>
    <t>Deloitte Access Economics 2025 'At What Cost?': A$95B GBR valuation at 0.7 USD/AUD.</t>
  </si>
  <si>
    <t>Value at risk in a severe bleaching event</t>
  </si>
  <si>
    <t>Value protected</t>
  </si>
  <si>
    <t>ROI: value protected per dollar spent</t>
  </si>
  <si>
    <t>Per heatwave event, on the chartered-fleet cost. Same-day accounting.</t>
  </si>
  <si>
    <t>Gut Check - Harrison et al. 2019 (Published Coupled Model)</t>
  </si>
  <si>
    <t>Harrison 2019 coupled-model gut check. Credits two effects we exclude: multi-day persistence and a mobile fleet chasing susceptible clouds.</t>
  </si>
  <si>
    <t>Event-average forcing achieved (Harrison)</t>
  </si>
  <si>
    <t>Coupled-model result: ~6.8% reef-wide dimming. RRAP conversion: 5 W/m2 ~ 1.5% reef-wide.</t>
  </si>
  <si>
    <t>Harrison et al. 2019 (T14), p.57: "reduction of around 6.7 percent of incoming shortwave solar radiation over the latitudinal extent of the Reef". File held.</t>
  </si>
  <si>
    <t>Deployment scope</t>
  </si>
  <si>
    <t>Reef-wide fleet</t>
  </si>
  <si>
    <t>Mobile fleet; vessels brighten clouds wherever conditions suit.</t>
  </si>
  <si>
    <t>Dose ratio (ours / his)</t>
  </si>
  <si>
    <t>Value protected if his assumptions held</t>
  </si>
  <si>
    <t>ROI if his assumptions held</t>
  </si>
  <si>
    <t>Optimistic end of bracket; requires Harrison persistence + mobility assumptions, on the same chartered cost.</t>
  </si>
  <si>
    <t>Input / step</t>
  </si>
  <si>
    <t>Source cell</t>
  </si>
  <si>
    <t>Delivery rate (particles/s per W/m2)</t>
  </si>
  <si>
    <t>Station count</t>
  </si>
  <si>
    <t>Zhao preprint</t>
  </si>
  <si>
    <t>Station spacing (km)</t>
  </si>
  <si>
    <t>Emission per station (particles/s)</t>
  </si>
  <si>
    <t>Total emission (particles/s)</t>
  </si>
  <si>
    <t>Spray footprint (km2)</t>
  </si>
  <si>
    <t>Event season length (days), Harrison's window</t>
  </si>
  <si>
    <t>T14 report text</t>
  </si>
  <si>
    <t>Zhao's albedo increase (absolute)</t>
  </si>
  <si>
    <t>Zhao Fig. 8e: CTRL 0.48, EXP20 0.51; '+6.2%' is the relative label. 340 x 0.03 = 10.2 W/m2.</t>
  </si>
  <si>
    <t>Cloud-top shortwave, 24-h average (W/m2)</t>
  </si>
  <si>
    <t>Forcing where it works (W/m2)</t>
  </si>
  <si>
    <t>T14 D0.0676</t>
  </si>
  <si>
    <t>Forcing target (W/m2)</t>
  </si>
  <si>
    <t>Harrison SST response (°C per W/m2)</t>
  </si>
  <si>
    <t>Cooling (°C)</t>
  </si>
  <si>
    <t>One nozzle's output (particles/s)</t>
  </si>
  <si>
    <t>In-window fraction</t>
  </si>
  <si>
    <t>Nozzle array per vessel</t>
  </si>
  <si>
    <t>Spray-time fraction</t>
  </si>
  <si>
    <t>Assumption (spray uptime within events).</t>
  </si>
  <si>
    <t>Per-vessel continuous-equivalent (particles/s)</t>
  </si>
  <si>
    <t>Season particle count</t>
  </si>
  <si>
    <t>Per-vessel season particles</t>
  </si>
  <si>
    <t>Vessels needed</t>
  </si>
  <si>
    <t>Fleet identity</t>
  </si>
  <si>
    <t>Power per nozzle (W)</t>
  </si>
  <si>
    <t>Spray power per vessel (kW)</t>
  </si>
  <si>
    <t>Weeks in the season</t>
  </si>
  <si>
    <t>Temporary mounting &amp; removal ($/vessel)</t>
  </si>
  <si>
    <t>Season charter cost, fleet ($)</t>
  </si>
  <si>
    <t>Mounting &amp; removal, fleet ($)</t>
  </si>
  <si>
    <t>Spray-hours per vessel per event</t>
  </si>
  <si>
    <t>Electricity price ($/kWh)</t>
  </si>
  <si>
    <t>Spray energy cost, fleet</t>
  </si>
  <si>
    <t>Technician cost ($/vessel-year)</t>
  </si>
  <si>
    <t>Technician cost, fleet</t>
  </si>
  <si>
    <t>Harrison anchor forcing (W/m2)</t>
  </si>
  <si>
    <t>Harrison relief at anchor</t>
  </si>
  <si>
    <t>Value at risk ($)</t>
  </si>
  <si>
    <t>Relief (fraction of damage averted)</t>
  </si>
  <si>
    <t>Damage averted ($)</t>
  </si>
  <si>
    <t>Implied price of 10^16 particles ($)</t>
  </si>
  <si>
    <t>ROI</t>
  </si>
  <si>
    <t>Local Benefits: Heat-Death Reduction (City Cooling)</t>
  </si>
  <si>
    <t>Same cooling model as 5c; here a degree buys lives, not bleaching relief. Chartered seasonal fleet. Order-of-magnitude only.</t>
  </si>
  <si>
    <t>Local on-target delivery factor (applies to both profiles)</t>
  </si>
  <si>
    <t>Fraction of sprayed cooling that reaches the target city (rest drifts off). Same factor on tab 5c.</t>
  </si>
  <si>
    <t>Assumption (same factor as 5c).</t>
  </si>
  <si>
    <t>Heat mortality +5.7% per 1C above threshold (RR 1.057, 326-city study). European heat plans bound the deliverable benefit (~25% reduction).</t>
  </si>
  <si>
    <t>City area to cool</t>
  </si>
  <si>
    <t>hectares</t>
  </si>
  <si>
    <t>A large metro core (500 km2).</t>
  </si>
  <si>
    <t>Assumption (large metro core; 50,000 ha = 500 km2).</t>
  </si>
  <si>
    <t>Peak cooling delivered</t>
  </si>
  <si>
    <t>degC</t>
  </si>
  <si>
    <t>Temperature shaved off the hottest part of extreme days.</t>
  </si>
  <si>
    <t>Assumption (peak cooling shaved on hottest days).</t>
  </si>
  <si>
    <t>Extreme-heat days per year</t>
  </si>
  <si>
    <t>Average heatwave days (~13.7/yr in 2010s globally).</t>
  </si>
  <si>
    <t>Tonnes per season</t>
  </si>
  <si>
    <t>Area / coverage per tonne x 3-day aerosol cycles over the heat days / delivery factor.</t>
  </si>
  <si>
    <t>Per-vessel output during season</t>
  </si>
  <si>
    <t>Annual per-vessel production (tab 2, at 33% utilization) x season fraction of year.</t>
  </si>
  <si>
    <t>Vessels required for the season</t>
  </si>
  <si>
    <t>Season tonnage / per-vessel season output.</t>
  </si>
  <si>
    <t>Vessels x weeks of extreme heat x rate.</t>
  </si>
  <si>
    <t>Pay only for the season: charter + mounting + seasonal operating. Same chartered-fleet frame as 5c.</t>
  </si>
  <si>
    <t>City ROI</t>
  </si>
  <si>
    <t>City population</t>
  </si>
  <si>
    <t>A mid-large city.</t>
  </si>
  <si>
    <t>Assumption (mid-large city).</t>
  </si>
  <si>
    <t>Baseline heat deaths / extreme season</t>
  </si>
  <si>
    <t>deaths</t>
  </si>
  <si>
    <t>Excess deaths in the city during the dangerous season, pre-intervention.</t>
  </si>
  <si>
    <t>Assumption (baseline excess deaths per extreme season).</t>
  </si>
  <si>
    <t>Mortality rise per degC</t>
  </si>
  <si>
    <t>per degC</t>
  </si>
  <si>
    <t>RR 1.057 per 1C above threshold (326-city study).</t>
  </si>
  <si>
    <t>Daily-mean realized cooling (RR basis)</t>
  </si>
  <si>
    <t>RR 1.057 is against daily-mean temperature, not peak. 0.44 converts peak shaving to the daily-mean dose the epidemiology sees.</t>
  </si>
  <si>
    <t>Deaths averted per season</t>
  </si>
  <si>
    <t>Value of a statistical life</t>
  </si>
  <si>
    <t>$/life</t>
  </si>
  <si>
    <t>Assumption: US federal range.</t>
  </si>
  <si>
    <t>Assumption (US-federal-range VSL).</t>
  </si>
  <si>
    <t>Deaths averted x statistical-life value.</t>
  </si>
  <si>
    <t>Per extreme-heat season, on the chartered-fleet cost.</t>
  </si>
  <si>
    <t>Gut Check - Comparison Anchors</t>
  </si>
  <si>
    <t>No published targeted city cooling by MCB; first-of-kind profile. Two anchors bracket below: urban cooling economics; geoengineering epidemiology.</t>
  </si>
  <si>
    <t>Urban passive cooling, benefit-cost range</t>
  </si>
  <si>
    <t>1.5 - 15.2</t>
  </si>
  <si>
    <t>$ per $1</t>
  </si>
  <si>
    <t>Estrada et al. 2017 (1,692 cities), via World Bank Cool Cities primer. Net benefit per $1 of passive cooling.</t>
  </si>
  <si>
    <t>Solar geoengineering mortality benefit:risk</t>
  </si>
  <si>
    <t>Harding, Keith, Vecchi &amp; Yang 2024 (PNAS): stratospheric sulfate, mortality benefits vs risks. Only other published cooling-for-lives number.</t>
  </si>
  <si>
    <t>This profile, benefit-cost at $10M statistical life</t>
  </si>
  <si>
    <t>Global Cooling Model: Tonnage to Cooling via Earth-System Models</t>
  </si>
  <si>
    <t>Tonnes of sea salt per year into global cooling, via published regional simulations from three ESMs seeding real ocean regions. Includes cloud adjustments and feedbacks the bottom-up model omits.</t>
  </si>
  <si>
    <t>A. Published region-to-global conversion</t>
  </si>
  <si>
    <t>Hirasawa et al. 2026, J. Climate 39(2): 14 regions, 3 models, equal-forcing emissions. Midlatitude oceans beat the classic subtropical stratocumulus trio in all three models: stronger forcing per ton, better feedbacks, no remote warming patches.</t>
  </si>
  <si>
    <t>Strategy</t>
  </si>
  <si>
    <t>Model</t>
  </si>
  <si>
    <t>Emission (Tg/yr)</t>
  </si>
  <si>
    <t>Global cooling (K)</t>
  </si>
  <si>
    <t>Efficiency (K per Tg/yr)</t>
  </si>
  <si>
    <t>Subtropical (3 regions)</t>
  </si>
  <si>
    <t>CESM2</t>
  </si>
  <si>
    <t>Optimistic end. CESM2 sits at the upper end of CMIP6 aerosol-cloud forcing.</t>
  </si>
  <si>
    <t>E3SMv2</t>
  </si>
  <si>
    <t>Middle of the envelope.</t>
  </si>
  <si>
    <t>UKESM1.0</t>
  </si>
  <si>
    <t>Pessimistic end. Emits 172nm particles, closest to our 150nm design point.</t>
  </si>
  <si>
    <t>Midlatitude (5 regions)</t>
  </si>
  <si>
    <t>Strongest efficiency in the study.</t>
  </si>
  <si>
    <t>B. The 20-30x climate model spread</t>
  </si>
  <si>
    <t>Models disagree ~order-of-magnitude on tons for equal forcing (2.5 vs 50 Tg/yr per region). Part cloud susceptibility, part particle size: count per ton scales 1/d^3.</t>
  </si>
  <si>
    <t>UKESM1.0 emitted size</t>
  </si>
  <si>
    <t>Our design point</t>
  </si>
  <si>
    <t>C. Bottom up gut check</t>
  </si>
  <si>
    <t>Our bottom-up chain implies a global forcing per Tg/yr. Compare with each model's per-region efficiency (about -0.6 W/m2 per region at nominal):</t>
  </si>
  <si>
    <t>Our forcing per Tg/yr (delivery- and activation-adjusted)</t>
  </si>
  <si>
    <t>ESM restated at our basis</t>
  </si>
  <si>
    <t>Local forcing x area / Earth area x lifetime. Now includes the realization factor, so apples-to-apples with the published all-weather efficiencies.</t>
  </si>
  <si>
    <t>CESM2 implied forcing efficiency</t>
  </si>
  <si>
    <t>E3SMv2 implied forcing efficiency</t>
  </si>
  <si>
    <t>UKESM1.0 implied forcing efficiency</t>
  </si>
  <si>
    <t>D. Aerosol required for 1 K of global cooling</t>
  </si>
  <si>
    <t>Targeted spraying bonus</t>
  </si>
  <si>
    <t>100% is neutral. The study assume even spraying over the region. There is likely some benefit of targeted spraying.</t>
  </si>
  <si>
    <t>Structural default (neutral; no targeting bonus).</t>
  </si>
  <si>
    <t>Target global cooling</t>
  </si>
  <si>
    <t>K</t>
  </si>
  <si>
    <t>Structural default (target cooling 1 K).</t>
  </si>
  <si>
    <t>Tg/yr (model size basis)</t>
  </si>
  <si>
    <t>Tons/yr (model basis)</t>
  </si>
  <si>
    <t>Emitted size (nm)</t>
  </si>
  <si>
    <t>Tg/yr at our basis</t>
  </si>
  <si>
    <t>Tg/yr / survival</t>
  </si>
  <si>
    <t>Tons/yr (our basis)</t>
  </si>
  <si>
    <t>Plume survival to cloud base (scenario)</t>
  </si>
  <si>
    <t>Global Cooling via Dedicated Vessel: Cost and Benefit-Cost</t>
  </si>
  <si>
    <t>One cost basis here: the dedicated spray vessel, levelized on 3a. Tonnage from 6a; the cheaper piggyback case is 6c.</t>
  </si>
  <si>
    <t>A. Cost to cool the planet (dedicated vessel)</t>
  </si>
  <si>
    <t>Cost per tonne (dedicated vessel, tab 3a base)</t>
  </si>
  <si>
    <t>Tonnage per model from 6a (midlatitude), restated at 150 nm and grossed up for survival; cost at 3a dedicated-vessel levelized.</t>
  </si>
  <si>
    <t>Tg/yr (150 nm basis)</t>
  </si>
  <si>
    <t>Tons/yr (150 nm, post-survival)</t>
  </si>
  <si>
    <t>B. What a degree-year of cooling is worth</t>
  </si>
  <si>
    <t>Damage-function lookup: do not reinvent, look up damage per degree and multiply. Low/central/high band: the three anchors are different kinds of quantity, so read the band as scenario spread, not a confidence interval. Break-even depends on the cost scenario.</t>
  </si>
  <si>
    <t>Global GDP</t>
  </si>
  <si>
    <t>$ trillion</t>
  </si>
  <si>
    <t>World GDP ~$110T (2025).</t>
  </si>
  <si>
    <t>Target global cooling (from A above)</t>
  </si>
  <si>
    <t>Damage estimate</t>
  </si>
  <si>
    <t>% GDP per degC</t>
  </si>
  <si>
    <t>$B/degC-yr</t>
  </si>
  <si>
    <t>Value of target cooling ($B/yr)</t>
  </si>
  <si>
    <t>Low (older IAM / Nordhaus-style)</t>
  </si>
  <si>
    <t>Central (statistical class; Burke et al. 2015 anchor)</t>
  </si>
  <si>
    <t>Burke, Hsiang &amp; Miguel 2015 (Nature 527:235): ~23% GDP/capita at ~3.7C (~6%/degC). 3.3%/degC is conservative within the statistical class (Kahn 2021 ~2.5%; Bilal &amp; Kanzig 2024 12% peak). Replaces Kotz 2024, retracted Dec 2025.</t>
  </si>
  <si>
    <t>High (Bilal-Kanzig 2024)</t>
  </si>
  <si>
    <t>All values $B/yr: global GDP ($110T) x damage %/degC. One degree-year ≈ $700B low, $3,600B central, $13,000B high. Central = Burke 2015 at 3.3%/degC (post-Kotz retraction).</t>
  </si>
  <si>
    <t>C. Benefit-cost ratio</t>
  </si>
  <si>
    <t>Value of the cooling (section B, central damage estimate) divided by its cost (section A).</t>
  </si>
  <si>
    <t>Cost case (model)</t>
  </si>
  <si>
    <t>Cost ($B/yr)</t>
  </si>
  <si>
    <t>Value ($B/yr, central damage)</t>
  </si>
  <si>
    <t>Benefit-cost ratio</t>
  </si>
  <si>
    <t>CESM2 (optimistic)</t>
  </si>
  <si>
    <t>E3SMv2 (central)</t>
  </si>
  <si>
    <t>UKESM1 (pessimistic, our size)</t>
  </si>
  <si>
    <t>Global Cooling via Container-Ship Piggyback: Cost and Benefit-Cost</t>
  </si>
  <si>
    <t>A. Cost to cool the planet (container-ship piggyback)</t>
  </si>
  <si>
    <t>t/yr</t>
  </si>
  <si>
    <t>D. Fleet scale and power sensitivity</t>
  </si>
  <si>
    <t>Piggyback-only question: how many ships, and what is the nozzle power draw worth?</t>
  </si>
  <si>
    <t>Fleet reference</t>
  </si>
  <si>
    <t>Fully cellular container ships (Alphaliner, Apr 2026)</t>
  </si>
  <si>
    <t>ships</t>
  </si>
  <si>
    <t>Climate model</t>
  </si>
  <si>
    <t>Aerosol for 1K (t/yr)</t>
  </si>
  <si>
    <t>UKESM1.0 (pessimistic)</t>
  </si>
  <si>
    <t>References: academic publications cited in this workbook</t>
  </si>
  <si>
    <t>Ref as cited</t>
  </si>
  <si>
    <t>Full citation</t>
  </si>
  <si>
    <t>Where used</t>
  </si>
  <si>
    <t>DOI / link</t>
  </si>
  <si>
    <t>Harrison et al. 2025</t>
  </si>
  <si>
    <t>Harrison, L. P., Medcraft, C., &amp; Harrison, D. P. (2025). Effervescent nozzle design to enable outdoor marine cloud brightening experimentation. Environmental Science: Atmospheres, 5(10), 1071-1080.</t>
  </si>
  <si>
    <t>https://doi.org/10.1039/d5ea00073d</t>
  </si>
  <si>
    <t>Harrison et al. 2019 / T14</t>
  </si>
  <si>
    <t>Harrison, D. P., Baird, M., Harrison, L., Utembe, S., Schofield, R., Escobar Correa, R., Mongin, M., &amp; Rizwi, F. (2019). Environmental Modelling of Large Scale Solar Radiation Management. RRAP T14 Final Report (83 pp).</t>
  </si>
  <si>
    <t>https://gbrrestoration.org/wp-content/uploads/2020/09/T14-Environmental-Modelling-of-Large-Scale-SRM_v3.03-3.pdf</t>
  </si>
  <si>
    <t>Zhao et al. 2026 (preprint)</t>
  </si>
  <si>
    <t>Zhao, W., Huang, Y., Siems, S., &amp; Harrison, D. (2026). Sensitivity of Marine Cloud Brightening over the Great Barrier Reef to Spatial Variability in Aerosol Forcing: A Case Study using convection-permitting model. EGUsphere preprint, discussion started 23 March 2026.</t>
  </si>
  <si>
    <t>5c-alt (main cooling basis), 5c</t>
  </si>
  <si>
    <t>https://doi.org/10.5194/egusphere-2026-1251</t>
  </si>
  <si>
    <t>Hernandez-Jaramillo et al. 2025 (ERL)</t>
  </si>
  <si>
    <t>Hernandez-Jaramillo, D. C., Harrison, L., Gunner, G., McGrath, A., Junkermann, W., Lieff, W., Hacker, J., Rosenfeld, D., Kelaher, B., &amp; Harrison, D. P. (2025). First generation outdoor marine cloud brightening trial increases aerosol concentration at cloud base height. Environmental Research Letters, 20(5), 054065.</t>
  </si>
  <si>
    <t>https://doi.org/10.1088/1748-9326/adccd7</t>
  </si>
  <si>
    <t>Hernandez-Jaramillo et al. 2025a (plume review)</t>
  </si>
  <si>
    <t>Hernandez-Jaramillo, D., Kelaher, B., &amp; Harrison, D. (2025). A review of plume dispersion and measurement techniques applicable to marine cloud brightening. Frontiers in Marine Science, 12, 1450175.</t>
  </si>
  <si>
    <t>https://doi.org/10.3389/fmars.2025.1450175</t>
  </si>
  <si>
    <t>CS-01 2025 (RRAP report)</t>
  </si>
  <si>
    <t>Harrison, D., Ristovski, Z., Ryan, R., Zhao, W., Sulo, J., Horchler, J., Huang, Y., Schofield, R., Deschaseaux, E., Harrison, L., Holloway, C., Braga, R., Rosenfeld, D., &amp; Siems, S. (2025). Reef Restoration and Adaptation Program - GBR Atmospheric Survey (CS-01) Final Report 2025 (33 pp).</t>
  </si>
  <si>
    <t>https://gbrrestoration.org/wp-content/uploads/2026/06/RRAP-CS-01_FINAL-REPORT-2025.pdf</t>
  </si>
  <si>
    <t>CS-06 2025 (RRAP report)</t>
  </si>
  <si>
    <t>Harrison, D. P., Ristovski, Z., Rosenfeld, D., Holloway, C., Cleary, M., Kourmatzis, A., Harrison, L., Braga, R. C., Medcraft, C., Hernandez-Jaramillo, D. C., et al. (2025). Reef Restoration and Adaptation Program - Cloud and Sky Brightening Development (CS-06) Final Report 2025 (56 pp).</t>
  </si>
  <si>
    <t>https://gbrrestoration.org/wp-content/uploads/2026/06/RRAP-CS-06_FINAL-REPORT-2025.pdf</t>
  </si>
  <si>
    <t>Latham et al. 2012</t>
  </si>
  <si>
    <t>Latham, J., Bower, K., Choularton, T., Coe, H., Connolly, P., Cooper, G., Craft, T., Foster, J., Gadian, A., et al. (2012). Marine cloud brightening. Philosophical Transactions of the Royal Society A, 370, 4217-4262.</t>
  </si>
  <si>
    <t>https://doi.org/10.1098/rsta.2012.0086</t>
  </si>
  <si>
    <t>Hirasawa et al. 2026</t>
  </si>
  <si>
    <t>Hirasawa, H., Henry, M., Mason, E., Rasch, P. J., Doherty, S. J., &amp; Wood, R. (2026). Forcing Susceptibility and Climate Sensitivity to Midlatitude Marine Cloud Brightening. Journal of Climate, 39(2), 769-784.</t>
  </si>
  <si>
    <t>https://doi.org/10.1175/JCLI-D-25-0337.1</t>
  </si>
  <si>
    <t>Estrada et al. 2017</t>
  </si>
  <si>
    <t>Estrada, F., Botzen, W. J. W., &amp; Tol, R. S. J. (2017). A global economic assessment of city policies to reduce climate change impacts. Nature Climate Change, 7, 403-406.</t>
  </si>
  <si>
    <t>https://doi.org/10.1038/nclimate3301</t>
  </si>
  <si>
    <t>Burke et al. 2015</t>
  </si>
  <si>
    <t>Burke, M., Hsiang, S. M., &amp; Miguel, E. (2015). Global non-linear effect of temperature on economic production. Nature, 527, 235-239.</t>
  </si>
  <si>
    <t>https://doi.org/10.1038/nature15725</t>
  </si>
  <si>
    <t>Supporting files (not directly cited)</t>
  </si>
  <si>
    <t>ARIA proposal 2025</t>
  </si>
  <si>
    <t>Harrison, D. P. et al. (2025). Marine Cloud Brightening in a complex world - moving beyond the Twomey effect. Proposal to the Advanced Research + Invention Agency: Exploring Climate Cooling Programme. Southern Cross University.</t>
  </si>
  <si>
    <t>Corroborates tab-1 nozzle specs (640 nozzles, ~10^15/s)</t>
  </si>
  <si>
    <t>https://doi.org/10.25918/misc.469</t>
  </si>
  <si>
    <t>PhD thesis 2024</t>
  </si>
  <si>
    <t>Hernandez Jaramillo, D. C. (2024). Characterisation and dispersion of particle emissions for marine cloud brightening over the Great Barrier Reef. PhD thesis, Southern Cross University.</t>
  </si>
  <si>
    <t>Background on sprayer generations and plume measurements</t>
  </si>
  <si>
    <t>https://doi.org/10.25918/thesis.426</t>
  </si>
  <si>
    <t>Non-academic sources (websites, not downloaded)</t>
  </si>
  <si>
    <t>Nozzle price listing</t>
  </si>
  <si>
    <t>Alibaba product listing for effervescent nozzle hardware.</t>
  </si>
  <si>
    <t>Vessel charter / ship sizing</t>
  </si>
  <si>
    <t>Charter-market and vessel-spec websites used for ship sizing and charter rates.</t>
  </si>
  <si>
    <t>Tab 2, 3a-3d</t>
  </si>
  <si>
    <t>World Bank Cool Cities primer</t>
  </si>
  <si>
    <t>World Bank (2020). Cool Cities: Reducing Urban Heat. Primer / report.</t>
  </si>
  <si>
    <t>Vessel spec sheets (websites, not downloaded): UT 755L PSV ~16.4 m3/day at 10 kn; Adland PSV average ~9.3 t/day. Links: https://horizonoffshoreservices.com/wp-content/uploads/2024/07/HOS269.pdf ; https://www.mdpi.com/2077-1312/13/4/686</t>
  </si>
  <si>
    <t>Used Ariel 200 hp CNG compressor package listed $180k ≈ $1,200/kW (Bakersfield yard listing). Link: https://inventory.freeoilfieldquote.com/product/ariel-jgq-2-3-200-hp-vfd-electric-drive-3-stage-cng-com</t>
  </si>
  <si>
    <t>Market reference (website): used Ariel 200 hp CNG compressor package listed $180k, ~$1,200/kW (Bakersfield yard listing). Link: https://inventory.freeoilfieldquote.com/product/ariel-jgq-2-3-200-hp-vfd-electric-drive-3-stage-cng-com</t>
  </si>
  <si>
    <t>$25k marinized: pump + strainer + polish + UV + spares. Ballast-water systems cost $640k+ but treat ~1,000x our throughput (Transport Canada, Transactions on BWTS 2015).</t>
  </si>
  <si>
    <t>Assumption ($25k marinized); ballast-water treatment systems ($640k+, Transport Canada 'Transactions on BWTS' 2015) as comparator at ~1,000x throughput. Link: https://www.tc.canada.ca/sites/default/files/migrated/transactions_for_bwts_on_the_great_lakes___transport_canada.pdf</t>
  </si>
  <si>
    <t>Market reference (website): newbuild 70-80 m PSV, Clarksons basis; sized for the ~3 MW spray plant. Link: https://www.rivieramm.com/news-content-hub/sticker-shock-price-of-psv-newbuildings-up-68-since-2016-79964</t>
  </si>
  <si>
    <t>https://www.alibaba.com/product-detail/Two-fluid-Nozzle-Fuel-Burner-Gas_1601145712214.html</t>
  </si>
  <si>
    <t>https://horizonoffshoreservices.com/wp-content/uploads/2024/07/HOS269.pdf ; https://www.rivieramm.com/news-content-hub/sticker-shock-price-of-psv-newbuildings-up-68-since-2016-79964</t>
  </si>
  <si>
    <t>https://openknowledge.worldbank.org/handle/10986/34218</t>
  </si>
  <si>
    <t>6a: tonnes into global cooling via published Earth-system models. 6b/6c: value per degree-year vs climate damage functions.</t>
  </si>
  <si>
    <t>4. Scenario Comparison</t>
  </si>
  <si>
    <t>All values pulled live from tabs 3a-3d (green fill); nothing is computed here. Sources for each number sit on its home tab.</t>
  </si>
  <si>
    <t>Scenario</t>
  </si>
  <si>
    <t>vs dedicated (3a)</t>
  </si>
  <si>
    <t>Note</t>
  </si>
  <si>
    <t>3a. Dedicated vessel</t>
  </si>
  <si>
    <t>anchor</t>
  </si>
  <si>
    <t>Main model.</t>
  </si>
  <si>
    <t>3b. Ship piggyback</t>
  </si>
  <si>
    <t>Rent deck slots; host vessel runs its route.</t>
  </si>
  <si>
    <t>3c. Fixed platform</t>
  </si>
  <si>
    <t>Moored buoy / jack-up; shore power.</t>
  </si>
  <si>
    <t>3d. Stationary vessel</t>
  </si>
  <si>
    <t>Steam out and back once; holds station.</t>
  </si>
  <si>
    <t>Alternative reef scenario: Zhao 2026 preprint</t>
  </si>
  <si>
    <t>No MRV anywhere in this model: no measured forcing, no verification, no certification.</t>
  </si>
  <si>
    <t>Blue fill = inputs, you can change these.</t>
  </si>
  <si>
    <t>Green text = pulled from another tab</t>
  </si>
  <si>
    <t>Black text = formula</t>
  </si>
  <si>
    <t>5c/5c-alt/5d: local benefits, reef bleaching relief (5c) and city heat deaths (5d).</t>
  </si>
  <si>
    <t>Intent</t>
  </si>
  <si>
    <t>Methodology</t>
  </si>
  <si>
    <t>The intent of this workbook is to do bottom up assessment of marine cloud brightening. The intent is to use the best available academic sources and connect those pieces together for this end to end assessment. Then we work through different delivery mechanisms, whether a dedicated vessel, piggybacking on a cargo ship, fixed platforms, or stationary vessels.</t>
  </si>
  <si>
    <t>Wherever possible, our intent is to use academic sources for inputs. On the last tab, references, you can find all the papers that we pulled data from. In this sense, we're pulling parts of a shelf and attempting to assemble them. As the foundation we take the exact numbers from Daniel Harrison's prototype in the Great Barrier Reef. However, these "parts" weren't built to be put together. This has two effects. One is that we may be connecting them together in the wrong order. The second is there are gaps, which means we make assumptions, which are not academically sourced.</t>
  </si>
  <si>
    <t>The workbook is broken roughly into two parts. The first section is modeling a machine/ship that spits out aerosol particles. The second section is then figuring out what the climate effect and outcome of those particles is.</t>
  </si>
  <si>
    <t>QUESTIONS, COMMENTS, COMPLAINTS</t>
  </si>
  <si>
    <t>Harrison et al. 2025, Environ. Sci.: Atmos. 5, 1071-1080 (doi:10.1039/d5ea00073d).</t>
  </si>
  <si>
    <t>CS-06 Final Report 2025, p.24 + ERL 2025 p.6 (doi:10.1088/1748-9326/adccd7).</t>
  </si>
  <si>
    <t>Harrison et al. 2025, Environ. Sci.: Atmos. 5, 1071-1080 (doi:10.1039/d5ea00073d); scale check vs CS-06 Final Report 2025, p.1</t>
  </si>
  <si>
    <t xml:space="preserve">Harrison et al. 2025, Environ. Sci.: Atmos. 5, 1071-1080 (doi:10.1039/d5ea00073d); field config: ERL 2025, p.2. </t>
  </si>
  <si>
    <t>Hernandez-Jaramillo et al. 2025a, Front. Mar. Sci. 12:1450175, p.1: effectiveness "depends on what fraction of the sea salt aerosols are incorporated into clouds after being emitted"; still an open research gap, so 0.3 is a scenario choice.</t>
  </si>
  <si>
    <t>CS-06 Final Report 2025, p.2: "plumes consistently reached cloud base heights (800 - 900 metres) under typical trade-wind and low-wind speed doldrum type atmospheric conditions." ERL 2025 abstract: plume detected "just below cloud bases at 700-900 m altitudes".</t>
  </si>
  <si>
    <t>CS-06 Final Report 2025, pp.25-26: "background CCN concentrations range from approximately 50 to 200 cm-3... The most common value is near 100 cm-3".</t>
  </si>
  <si>
    <t>ERL 2025, p.9: "a critical diameter of ~ 50 nm at 0.5% supersaturation (SS) and ~73 nm at 0.2% SS" (GBR seawater).</t>
  </si>
  <si>
    <t>Assumption (daytime marine cloud-top shortwave)</t>
  </si>
  <si>
    <t>Harrison et al. 2019 (T14), pp.32-33: relationship "approximately linear... with the gradient of 0.225°C per 10 Wm-2 reduction in solar forcing"</t>
  </si>
  <si>
    <t>CS-01 Final Report 2025, p.11: occurrence of susceptible low cloud in summer "is 20% at the north and increases to 55% at the south"</t>
  </si>
  <si>
    <t>Harrison et al. 2019 (T14), p.57: "~65 percent in 2016/2017"</t>
  </si>
  <si>
    <t>Harrison et al. 2019 (T14), p.57: "an average reduction in bleaching stress of ~50 percent in 2015/2016".</t>
  </si>
  <si>
    <t>Harrison et al. 2019 (T14), p.39: forcing "accumulated over the entire summer from 1 December to 30 April" (151 days = 21.6 weeks).</t>
  </si>
  <si>
    <t>Harrison et al. 2019 (T14) reef-wide domain; GBR shallow-reef area ~3 million ha.</t>
  </si>
  <si>
    <t>Assumption (24-h mean cloud-top shortwave, GBR summer)</t>
  </si>
  <si>
    <t>Zhao et al. 2026, Fig. 8e: CTRL 0.48 vs EXP20 0.51 albedo.</t>
  </si>
  <si>
    <t>Harrison et al. 2019 (T14), p.39: summer window "from 1 December to 30 April" = 151 days.</t>
  </si>
  <si>
    <t>Zhao et al. 2026, p.6: "aerosol flux of the 1x10^16 particles per second... at each of 75 source points"</t>
  </si>
  <si>
    <t xml:space="preserve">Zhao et al. 2026, p.6: source points "distributed at a fine spatial spacing of 20 km". </t>
  </si>
  <si>
    <t>Zhao et al. 2026 preprint (doi:10.5194/egusphere-2026-1251), p.6: "75 source points" (EXP20).</t>
  </si>
  <si>
    <t>Estrada et al. 2017, Nat. Clim. Change 7:403-406, p.2: Policy B BCR &amp;quot;ranging from US$6.00 without GCC to US$15.24 under RCP8.5&amp;quot;; Policy D &amp;quot;between US$1.59 and US$3.96&amp;quot;. Via World Bank Cool Cities primer.  Primer link: https://openknowledge.worldbank.org/handle/10986/34218</t>
  </si>
  <si>
    <t>Harrison et al. 2019 (T14), scenario D0.0676 basis</t>
  </si>
  <si>
    <t xml:space="preserve">Assumption: no market quote </t>
  </si>
  <si>
    <t xml:space="preserve">326-city study (as noted); </t>
  </si>
  <si>
    <t>Harding, Keith, Vecchi &amp; Yang 2024 (PNAS),</t>
  </si>
  <si>
    <t>Literature-scale value: ~13.7 heatwave days/yr global average in 2010s ().</t>
  </si>
  <si>
    <t>Bilal &amp; Kanzig 2024 (w32450): 12% GDP per degC</t>
  </si>
  <si>
    <t>DICE-2016R (Nordhaus 2017, w22933): 0.227% GDP per degC^2 ≈ 3.6% at 4C</t>
  </si>
  <si>
    <t>Assumption: literature-typical stratocumulus albedo. Talked with Graham who suggested 0.30 a lower range.</t>
  </si>
  <si>
    <t>Model: W/m2 brightening</t>
  </si>
  <si>
    <t>Also out of scope for this model are any other Marine ecosystem impacts besides cooling and its impacts as well as Large scale circulation response, i.e. what effects does cloud brightening to cool the water of the Great Barrier Reef by 1C have on other parts of the climate system</t>
  </si>
  <si>
    <t>Wet volume handled per dry tonne of CCN. Drives pumping/filtration/UV energy (x 0.6 kWh/m3 on Cost Inputs). Computed from the output of Harrison's 2025 nozzle.</t>
  </si>
  <si>
    <t>Energy per hour</t>
  </si>
  <si>
    <t>Energy per day</t>
  </si>
  <si>
    <t>kWh</t>
  </si>
  <si>
    <t>tonne/day</t>
  </si>
  <si>
    <t>per nozzle particle rate x window fraction x dry mass x time. Window output is the product (Harrison 2025); plume survival charged per-scenario on 5a/6a.</t>
  </si>
  <si>
    <t>A single effervescent nozzle: seawater + compressed air + power in, CCN aerosol out. TEA stops at particle production; climatology on subsequent tabs</t>
  </si>
  <si>
    <t>7. Charter Rate</t>
  </si>
  <si>
    <t>Vessel fuel</t>
  </si>
  <si>
    <t>Vessels x days x fuel usage (propulsion + hotel) x price</t>
  </si>
  <si>
    <t>$/vessel/day</t>
  </si>
  <si>
    <t>Vessels x days x rate.</t>
  </si>
  <si>
    <t>This is a rough estimate. Total capex divided by 2000. Wanted some way to be able to break the cost down for charter scenarios like the Reef scenario. Indendent to represent the hull, crew, and insurance.</t>
  </si>
  <si>
    <t>Charter rate ($/vessel/day)</t>
  </si>
  <si>
    <t>Model CCN fraction (Hirasawa 2026 preprint, Table 1)</t>
  </si>
  <si>
    <t xml:space="preserve"> Size factor (150/d)^3 x CCN ratio</t>
  </si>
  <si>
    <t>CESM2 emitted size</t>
  </si>
  <si>
    <t>E3SMv2 emitted size</t>
  </si>
  <si>
    <t>CCN fraction</t>
  </si>
  <si>
    <t>x (d_model/d_ours)^3 x (our CCN fraction / model CCN fraction): a tonne of 90 nm holds (150/90)^3 = 4.6x more particles than 150 nm, but only 15.7% of CESM2's become droplets vs our 71%, so per tonne the two make about the same number of droplets</t>
  </si>
  <si>
    <t>CESM2-Ghosh</t>
  </si>
  <si>
    <t xml:space="preserve"> CESM2-Ghosh emitted size</t>
  </si>
  <si>
    <t>Scaled from CESM2 by salt needed for -2 W/m2: CESM2 12.9 vs CESM2-Ghosh 7.21 Tg/yr (Hirasawa 2026 preprint, Table 2). Same model and particles, newer activation scheme (Ghosh et al. 2025). Cooling is scaled, not a simulated run.</t>
  </si>
  <si>
    <t>CESM2-Ghosh (most optimistic)</t>
  </si>
  <si>
    <t>6a (section A regional efficiencies, model emission sizes)</t>
  </si>
  <si>
    <t>Hirasawa et al. 2026 (preprint)</t>
  </si>
  <si>
    <t>Hirasawa, H., von Salzen, K., Henry, M., Smith, J., Bender, F. A.-M., Wang, C., Doherty, S., Wood, R., Rasch, P. J., and Haywood, J. (2026). On the Range of Marine Cloud Brightening Radiative Forcing across Earth System Models. EGUsphere preprint.</t>
  </si>
  <si>
    <t>https://doi.org/10.5194/egusphere-2026-5460</t>
  </si>
  <si>
    <t>Note: Not accounting for direct aerosol forcing scales with salt mass, not droplets; significant above ~50 Tg/yr, dominant above ~200 Tg/yr.</t>
  </si>
  <si>
    <t>6 crew per vessel x vessels (base scenario vessel count lives on tab 3a).</t>
  </si>
  <si>
    <t>Same kWh/tonne as main model, priced at shore power. No propulsion fuel: platform does not move.</t>
  </si>
  <si>
    <t>Unused - do not wire (superseded by cloud availability)</t>
  </si>
  <si>
    <t>Neutralized 2026-09-09: overlaps cloud availability, same weather gate, would double-count. No formulas reference this input.</t>
  </si>
  <si>
    <t>Sensitivity bounds around the tab 5a base cloud albedo; see tab 5a Sources.</t>
  </si>
  <si>
    <t>Sensitivity bounds around the tab 5a base cloud-top shortwave; see tab 5a Sources.</t>
  </si>
  <si>
    <t>Adopted Harrison relief scaled by dose ratio (our event-average forcing / Harrison anchor forcing). Assumes relief ~linear in dose; only modest extrapolation.</t>
  </si>
  <si>
    <t>Reef asset value x ~20% at risk in a severe bleaching event. A$95B already blends present + future value; no further discounting.</t>
  </si>
  <si>
    <t>Value at risk x implied relief.</t>
  </si>
  <si>
    <t>This-deployment forcing / Harrison anchor forcing.</t>
  </si>
  <si>
    <t>Value at risk x Harrison adopted relief.</t>
  </si>
  <si>
    <t>live: tab 5a (T14 Fig 15)</t>
  </si>
  <si>
    <t>live: tab 1</t>
  </si>
  <si>
    <t>live: tab 2</t>
  </si>
  <si>
    <t>live: tab 5c</t>
  </si>
  <si>
    <t>live: tab 3b (same as tab 5c)</t>
  </si>
  <si>
    <t>live: tab 3b</t>
  </si>
  <si>
    <t>Baseline deaths x reduction at realized daily-mean cooling. Availability is already inside 5a's realization factor, so no separate availability halving.</t>
  </si>
  <si>
    <t>Benefit-cost at $10M per statistical life, on the daily-mean realized dose and the chartered cost.</t>
  </si>
  <si>
    <t xml:space="preserve">Catch-all for every loss, including particles too small to become droplets. Assumption: same basis as the tab 5a survival factor (Frontiers plume review 2025; open research gap).	</t>
  </si>
  <si>
    <t>Tabs 1 (particle output, CCN window, particle size, power, energy per tonne), 2</t>
  </si>
  <si>
    <t>5a (local temperature sensitivity), 5c-alt (T14 scenarios, Fig 15)</t>
  </si>
  <si>
    <t>Tab 1 (particle size, particles per tonne, energy notes), 6a (plume to cloud base)</t>
  </si>
  <si>
    <t>5a (survival factor, activation diameter), 6a (plume survival)</t>
  </si>
  <si>
    <t>5a (cloud availability 0.2; p.11)</t>
  </si>
  <si>
    <t>Tab 1 (particle size, power), 5a (survival, mixing depth, background droplets p.34, droplet enhancement), 3a</t>
  </si>
  <si>
    <t>Tab 2 (required flux), foundational MCB concept</t>
  </si>
  <si>
    <t>5d (urban passive cooling benefit-cost)</t>
  </si>
  <si>
    <t>6b, 6c (value of a degree of cooling, central damage estimate)</t>
  </si>
  <si>
    <t>Tab 2 (nozzle price)</t>
  </si>
  <si>
    <t>6a (model CCN fractions; CESM2-Ghosh scaling)</t>
  </si>
  <si>
    <t xml:space="preserve">One important note this model currently does not respond to changes in particle size. It calls all particles equivalent as long as they're within a certain range. Design value stays mass-weighted; mass sits in the large tail. Count mode is much smaller: CS-06 Final Report 2025, p.24: "mode dry aerosol diameter around 40 nm"; ERL 2025 (doi:10.1088/1748-9326/adccd7), p.6: sea-salt plume has "a notable peak at 47.03 nm average". Count-equivalent from the measured count + mass: ~143 nm. </t>
  </si>
  <si>
    <t>Nozzle power scenario (selector)</t>
  </si>
  <si>
    <t>Set by the scenario selector in H17 (1 = measured 512 W, 2 = CS-06 10x energy target 51.2 W). Harrison 2025 (doi:10.1039/d5ea00073d): nozzle power, ~98% air compression. Scale check from file held, CS-06 Final Report 2025, p.1: "The current prototype produces ~10^15 s-1 sea salt aerosols using 320 kilowatts (kW) of energy", about 0.32 W per 1e9 particles/s, i.e. ~550 W per nozzle at 1.73e12/s. Consistent with 512 W.</t>
  </si>
  <si>
    <t>Selected scenario</t>
  </si>
  <si>
    <t>enter 1 or 2</t>
  </si>
  <si>
    <t>1: Harrison 2025 as measured</t>
  </si>
  <si>
    <t>2: CS-06 10x energy target</t>
  </si>
  <si>
    <t>B17 reads the selection; tab 2 and every output tab read B17.</t>
  </si>
  <si>
    <t>Pumping + filtration + UV energy</t>
  </si>
  <si>
    <t>kWh per m3 seawater</t>
  </si>
  <si>
    <t>Electricity to lift, filter and UV-treat one cubic metre of seawater before atomizing. Assumption; until 10/07 this 0.6 was typed inside formulas on tab 2 (B28) and tab 3a (row 37, column AI).</t>
  </si>
  <si>
    <t>Exchange rate, AUD to USD</t>
  </si>
  <si>
    <t>USD per AUD</t>
  </si>
  <si>
    <t>Used by tab 5c to convert the A$ reef valuation. Until 10/07 typed inside 5c B27.</t>
  </si>
  <si>
    <t>Assumption (0.70 USD/AUD).</t>
  </si>
  <si>
    <t>Particle flux per vessel-unit</t>
  </si>
  <si>
    <t>Output now: nozzles x rate x window fraction. Shows 10^16/s at base (Latham et al. 2012, ~10^15-10^16/s per sprayer); it is no longer a requirement.</t>
  </si>
  <si>
    <t>Spray power (B14) / watts per nozzle (tab 1 B17). Until 10/07 this was 10^16/s / particles per nozzle, so a better nozzle meant the same count at lower power instead of more nozzles on the same plant.</t>
  </si>
  <si>
    <t>The sizing lever since 10/07: the vessel is built around this power plant and carries as many nozzles as it can run (B13). 4,168 kW = 8,142 nozzles at Harrison's 512 W, so the base case is unchanged. At 51 W the same plant runs 81,400 nozzles: no one has checked that many booms and manifolds (127 ARIEL rigs) fit the modelled vessel, and the seawater intake would be 33 L/s. Same approach as the piggyback's 4.5 MW on tab 3b.</t>
  </si>
  <si>
    <t>Model structure (power-sized vessel-unit, 10/07). Harrison 2025: 814 nozzles at 10^15/s need 417 kW; 10^16/s about 4.2 MW.</t>
  </si>
  <si>
    <t>Nozzle unit cost scenario (selector)</t>
  </si>
  <si>
    <t>No published price for the SCU/ARIEL effervescent nozzle (searched Harrison 2025, CS-01/04/06/07, T14, ARIA proposal, Hernandez-Jaramillo thesis, 10/07). Bracket: CS-07 2025 p.31 'commercially proven nozzles ... ~$10 to ~$1000 each', marine 316 SS 'considerably more expensive'; CS-07 p.35 MeeFog manifolds 'about US$50 per nozzle, including nozzles, adapters, fittings, support frame'; CS-06 p.23 cartridge redesign 'significantly reducing costs'. Scenario 2 ($100) assumes the prototype nozzle unchanged, just made in volume. Compressors are priced separately (row 41). Installation (row 51) is 20% of equipment, so it scales with this price; a flat per-nozzle labour cost would be more honest at $10.</t>
  </si>
  <si>
    <t>RRAP CS-07 Fogging Development Final Report 2025, p.31 and p.35 (MeeFog manifold US$50/nozzle); RRAP CS-06 Final Report 2025, p.23 (cartridge nozzle). No price for the ARIEL nozzle in any Harrison-group publication.</t>
  </si>
  <si>
    <t>enter 1, 2 or 3</t>
  </si>
  <si>
    <t>1: $10, commodity nozzle at volume</t>
  </si>
  <si>
    <t>2: $100, cartridge nozzle in a welded manifold, made in volume</t>
  </si>
  <si>
    <t>3: $1,000, installed research-grade nozzle</t>
  </si>
  <si>
    <t>D40 reads the selection; every capex line reads D40. The 3a tornado runs $10 to $1,000 regardless of the selection.</t>
  </si>
  <si>
    <t>Bareboat charter rate, workboat class (hull + crew)</t>
  </si>
  <si>
    <t>Assumption, no market quote (moved from tab 5d). Hull and crew only; the spray gear is charged separately in B58. Until 10/07 this cell was total capex / 2000 per day, a kitted-vessel rate.</t>
  </si>
  <si>
    <t>Spray-train capex per vessel-unit (mounted gear, excl. hull)</t>
  </si>
  <si>
    <t>Nozzles + compressors/gensets + seawater skid, with the contingency stack and installation. What gets mounted on a chartered hull (5c, 5c-alt, 5d).</t>
  </si>
  <si>
    <t>Spray-train capital charge per vessel-day</t>
  </si>
  <si>
    <t>B57 x capital recovery factor (B6, B7) / 365. Charged per vessel-day of a chartered campaign.</t>
  </si>
  <si>
    <t>Usable fraction of fuel tank</t>
  </si>
  <si>
    <t>Tanks are not run dry; 90% usable. Read by B23 here and by tab 3d. Until 10/07 typed inside both formulas.</t>
  </si>
  <si>
    <t>kWh/tonne (tab 2 B28) x price x production for the case. Until 10/07 this row used litres where it needed cubic metres, 1,000x low on a ~$16/tonne line.</t>
  </si>
  <si>
    <t>Installed cost per nozzle. Worst = $1,000 scenario (tab 2 H43), base = selected scenario (D40), best = $10 scenario (H41): the full published bracket (CS-07 p.31), not a multiple of the selection.</t>
  </si>
  <si>
    <t>Rent deck slots on container ships already running liners. The spray train is sized to its own 4.5 MW of generation (rows 40-43); liner schedules set the spray fraction.</t>
  </si>
  <si>
    <t>Energy price (own generation: tab 2 diesel rate)</t>
  </si>
  <si>
    <t>The spray train brings its own gensets (tab 2 row 41 capex), so power is priced at the tab-2 diesel rate. Until 10/07 a separate "shipboard" $0.25 was typed here.</t>
  </si>
  <si>
    <t>Seawater skid, containerized (pumps, filtration, UV)</t>
  </si>
  <si>
    <t>Until 10/07 typed inside the row-22 formula.</t>
  </si>
  <si>
    <t>Spray-train energy at the shipboard price (B9). Until 10/07 this row priced energy again at the tab-2 diesel rate and the total added B9 on top, counting energy twice.</t>
  </si>
  <si>
    <t>Host-ship sizing (own generation)</t>
  </si>
  <si>
    <t>Power per host ship, own gensets</t>
  </si>
  <si>
    <t>4.5 MW of containerized gensets is 3 to 5 forty-foot boxes; with compressors the train takes ~20-30 TEU of slots. Sizes the train on this tab. Until 10/07 the train was tab 2's 10^16/s unit (4.2 MW) while 6c assumed 2 MW from the host.</t>
  </si>
  <si>
    <t>Nozzles per host ship</t>
  </si>
  <si>
    <t>Power per ship / watts per nozzle (tab 1 B17).</t>
  </si>
  <si>
    <t>Production per host ship</t>
  </si>
  <si>
    <t>Spray fraction x nozzles x aerosol per nozzle-year (tab 2 B11). Read by 6c.</t>
  </si>
  <si>
    <t>Charter rate (bareboat: hull + crew)</t>
  </si>
  <si>
    <t>Tab 2 B56 (weekly) / 7. Hull and crew only; mounted gear is row 22.</t>
  </si>
  <si>
    <t>Cost per heatwave (chartered, incl. row 22)</t>
  </si>
  <si>
    <t>Pay only for the season: bareboat charter + mounting + fuel + operating + the mounted spray train's capital share (row 22).</t>
  </si>
  <si>
    <t>Mounted spray-train capital (event share)</t>
  </si>
  <si>
    <t>Vessels x days x tab 2 B58 (nozzles, compressors, skid, amortized per vessel-day). Included in row 20.</t>
  </si>
  <si>
    <t>GBR asset valuation (Deloitte Access Economics 2025)</t>
  </si>
  <si>
    <t>A$ billion</t>
  </si>
  <si>
    <t>Deloitte 'At What Cost?' 2025. Converted at tab 2 B8. Until 10/07 typed inside B27.</t>
  </si>
  <si>
    <t>Share of reef value at risk in a severe bleaching event</t>
  </si>
  <si>
    <t>Assumption (~20%). Until 10/07 typed inside B28.</t>
  </si>
  <si>
    <t>Total season cost of chartering and running the fleet (incl. row 47)</t>
  </si>
  <si>
    <t>Mounted spray-train capital, fleet ($)</t>
  </si>
  <si>
    <t>Pulled from tab 2 B56. Hull and crew only; mounted gear is row 20.</t>
  </si>
  <si>
    <t>Cost per season (chartered, incl. row 20)</t>
  </si>
  <si>
    <t>Mounted spray-train capital (season share)</t>
  </si>
  <si>
    <t>Vessels x heat days x tab 2 B58. Included in row 18. Until 10/07 the city fleet carried no spray-train capital at all.</t>
  </si>
  <si>
    <t>Peak to daily-mean conversion</t>
  </si>
  <si>
    <t>Share of a peak-hour cooling that shows up in the daily mean the mortality study uses. Assumption. Until 10/07 typed inside B25.</t>
  </si>
  <si>
    <t>D. What a degree-year of cooling is worth (inputs; tabs 6b and 6c read these)</t>
  </si>
  <si>
    <t>Damage: low (older IAM / Nordhaus-style)</t>
  </si>
  <si>
    <t>Damage: central (statistical class; Burke et al. 2015 anchor)</t>
  </si>
  <si>
    <t>Damage: high (Bilal-Kanzig 2024)</t>
  </si>
  <si>
    <t>Pulled from tab 6a (B42).</t>
  </si>
  <si>
    <t>Pulled from tab 6a (B43); source there.</t>
  </si>
  <si>
    <t>Pulled from tab 6a (B44); source there.</t>
  </si>
  <si>
    <t>Pulled from tab 6a (B45); source there.</t>
  </si>
  <si>
    <t>Benefit-cost at the dedicated-vessel cost from tab 3a. Piggyback scenario and fleet numbers on 6c.</t>
  </si>
  <si>
    <t>One cost basis here: the container-ship piggyback from tab 3b, read directly the way 6b reads 3a. Tonnage from 6a. Every input traces to tabs 1, 2 and 3b.</t>
  </si>
  <si>
    <t>Cost per tonne (container-ship piggyback, tab 3b)</t>
  </si>
  <si>
    <t>Reads tab 3b directly. Until 10/07 this section costed its own optimistic case (0.1x power, best-case prices, 43% utilization).</t>
  </si>
  <si>
    <t>Per-ship aerosol output (tab 3b host-ship train)</t>
  </si>
  <si>
    <t>Pulled from tab 3b (B43): the train sized to the ship's own 4.5 MW. Until 10/07 this assumed 2 MW from the host while 3b priced a 4.2 MW train.</t>
  </si>
  <si>
    <t>Annual fuel for own generation (t)</t>
  </si>
  <si>
    <t>Own gensets burn ~200 g fuel/kWh (B50); the fuel is already priced inside the tab-2 energy rate. This row is for bunkering logistics only.</t>
  </si>
  <si>
    <t>Generator fuel rate</t>
  </si>
  <si>
    <t>kg per kWh</t>
  </si>
  <si>
    <t>Until 10/07 typed inside B48.</t>
  </si>
  <si>
    <t>Sources: Alphaliner Apr 2026 (6,706 container ships); MDS Transmodal Apr 2025 via UNCTAD RMT 2025 (6,033); Alphaliner Monthly Monitor Jul 2024 size table (954 of 6,206 ships under 1,000 TEU).</t>
  </si>
  <si>
    <t>Eligible host ships (1,000 TEU and up)</t>
  </si>
  <si>
    <t>D54 = share of the fleet of 1,000 TEU and up, 85% by count (Alphaliner Jul 2024). A 4.5 MW own-generation train needs ~30 TEU of slots, so feeders qualify; only the smallest class is excluded.</t>
  </si>
  <si>
    <t>% of eligible fleet</t>
  </si>
  <si>
    <t>Nozzle power sensitivity</t>
  </si>
  <si>
    <t>To see this tab at a different nozzle power, change the selector on tab 1 (H17). Tab 3b re-sizes the train to the same 4.5 MW and every row above follows. Until 10/07 an energy-only approximation lived here.</t>
  </si>
  <si>
    <t>DRAFT - Marine Cloud Brightening: Cost, Benefit, and Planetary-Scale Assessment</t>
  </si>
  <si>
    <t>DRAFT - Technology Description</t>
  </si>
  <si>
    <t>DRAFT - Cost Input Sheet</t>
  </si>
  <si>
    <t>Tito Jankowski, tito.jankowski@renphil.org</t>
  </si>
  <si>
    <t>Basis conversion: CESM2/E3SMv2 emit 90 nm, UKESM1 172 nm (Hirasawa 2026, J. Climate). Restate tonnages at our 150 nm by (d_ours/d_model)^3 x (model CCN fraction / our CCN fraction), so we match cloud droplets, not raw particle counts; CCN fractions from Hirasawa 2026 preprint, Table 1). Then gross up for plume survival; ESMs emit diffuse fluxes, ours is a point source.  Assumes (1) forcing is mostly cloud forcing, roughly true for CESM2, and (2) our 150 nm and the models' 90/172 nm particles stay airborne with an equally long lifetime.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</si>
</sst>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_(&quot;$&quot;* \(#,##0.00\);_(&quot;$&quot;* &quot;-&quot;??_);_(@_)"/>
    <numFmt numFmtId="164" formatCode="0.0E+00"/>
    <numFmt numFmtId="165" formatCode="#,##0.0"/>
    <numFmt numFmtId="166" formatCode="0.0"/>
    <numFmt numFmtId="167" formatCode="0.000"/>
    <numFmt numFmtId="168" formatCode="\$0.00"/>
    <numFmt numFmtId="169" formatCode="\$#,##0"/>
    <numFmt numFmtId="170" formatCode="0.0%"/>
    <numFmt numFmtId="171" formatCode="0.0000"/>
    <numFmt numFmtId="172" formatCode="\$#,##0.00"/>
    <numFmt numFmtId="173" formatCode="0.0\x"/>
    <numFmt numFmtId="174" formatCode="0.00\x"/>
    <numFmt numFmtId="175" formatCode="0\x"/>
    <numFmt numFmtId="176" formatCode="0.0\%"/>
    <numFmt numFmtId="177" formatCode="\$#,##0\B"/>
    <numFmt numFmtId="178" formatCode="\$#,##0.0,,\B"/>
    <numFmt numFmtId="179" formatCode="\$#,##0,,\B"/>
    <numFmt numFmtId="180" formatCode="\$#,##0.0"/>
    <numFmt numFmtId="181" formatCode="#,##0.0000"/>
  </numFmts>
  <fonts count="57" x14ac:knownFonts="1">
    <font>
      <sz val="11"/>
      <color rgb="FF000000"/>
      <name val="Calibri"/>
      <family val="2"/>
      <charset val="1"/>
    </font>
    <font>
      <sz val="10"/>
      <name val="Arial"/>
      <family val="2"/>
    </font>
    <font>
      <b/>
      <sz val="14"/>
      <name val="Arial"/>
      <family val="2"/>
      <charset val="1"/>
    </font>
    <font>
      <sz val="11"/>
      <name val="Arial"/>
      <family val="2"/>
      <charset val="1"/>
    </font>
    <font>
      <b/>
      <sz val="11"/>
      <color rgb="FFFFFFFF"/>
      <name val="Arial"/>
      <family val="2"/>
      <charset val="1"/>
    </font>
    <font>
      <b/>
      <sz val="11"/>
      <name val="Arial"/>
      <family val="2"/>
      <charset val="1"/>
    </font>
    <font>
      <sz val="10"/>
      <name val="Arial"/>
      <family val="2"/>
      <charset val="1"/>
    </font>
    <font>
      <i/>
      <sz val="9"/>
      <color rgb="FF595959"/>
      <name val="Arial"/>
      <family val="2"/>
      <charset val="1"/>
    </font>
    <font>
      <b/>
      <sz val="10"/>
      <color rgb="FF000000"/>
      <name val="Arial"/>
      <family val="2"/>
      <charset val="1"/>
    </font>
    <font>
      <sz val="11"/>
      <color rgb="FF0000FF"/>
      <name val="Arial"/>
      <family val="2"/>
      <charset val="1"/>
    </font>
    <font>
      <i/>
      <sz val="9"/>
      <color rgb="FF595959"/>
      <name val="Calibri"/>
      <family val="2"/>
      <charset val="1"/>
    </font>
    <font>
      <sz val="9"/>
      <color rgb="FF595959"/>
      <name val="Arial"/>
      <family val="2"/>
      <charset val="1"/>
    </font>
    <font>
      <b/>
      <sz val="10"/>
      <color rgb="FFFFFFFF"/>
      <name val="Arial"/>
      <family val="2"/>
      <charset val="1"/>
    </font>
    <font>
      <sz val="9"/>
      <color rgb="FF595959"/>
      <name val="Calibri"/>
      <family val="2"/>
      <charset val="1"/>
    </font>
    <font>
      <sz val="11"/>
      <color rgb="FF008000"/>
      <name val="Calibri"/>
      <family val="2"/>
      <charset val="1"/>
    </font>
    <font>
      <b/>
      <sz val="10"/>
      <name val="Calibri"/>
      <family val="2"/>
      <charset val="1"/>
    </font>
    <font>
      <sz val="11"/>
      <color rgb="FF000000"/>
      <name val="Arial"/>
      <family val="2"/>
      <charset val="1"/>
    </font>
    <font>
      <b/>
      <sz val="10"/>
      <name val="Arial"/>
      <family val="2"/>
      <charset val="1"/>
    </font>
    <font>
      <sz val="11"/>
      <color rgb="FF008000"/>
      <name val="Arial"/>
      <family val="2"/>
      <charset val="1"/>
    </font>
    <font>
      <b/>
      <sz val="9"/>
      <color rgb="FFFFFFFF"/>
      <name val="Arial"/>
      <family val="2"/>
      <charset val="1"/>
    </font>
    <font>
      <sz val="10"/>
      <color rgb="FF008000"/>
      <name val="Arial"/>
      <family val="2"/>
      <charset val="1"/>
    </font>
    <font>
      <b/>
      <sz val="11"/>
      <name val="Calibri"/>
      <family val="2"/>
      <charset val="1"/>
    </font>
    <font>
      <b/>
      <sz val="11"/>
      <color rgb="FF000000"/>
      <name val="Arial"/>
      <family val="2"/>
      <charset val="1"/>
    </font>
    <font>
      <sz val="10"/>
      <color rgb="FF595959"/>
      <name val="Arial"/>
      <family val="2"/>
      <charset val="1"/>
    </font>
    <font>
      <sz val="10"/>
      <color rgb="FF0000FF"/>
      <name val="Arial"/>
      <family val="2"/>
      <charset val="1"/>
    </font>
    <font>
      <i/>
      <sz val="9"/>
      <color rgb="FF595959"/>
      <name val="Cambria"/>
      <family val="1"/>
      <charset val="1"/>
    </font>
    <font>
      <sz val="11"/>
      <color rgb="FF548235"/>
      <name val="Arial"/>
      <family val="2"/>
      <charset val="1"/>
    </font>
    <font>
      <i/>
      <sz val="10"/>
      <color rgb="FF595959"/>
      <name val="Arial"/>
      <family val="2"/>
      <charset val="1"/>
    </font>
    <font>
      <b/>
      <sz val="14"/>
      <name val="Cambria"/>
      <family val="1"/>
      <charset val="1"/>
    </font>
    <font>
      <sz val="10"/>
      <name val="Calibri"/>
      <family val="2"/>
      <charset val="1"/>
    </font>
    <font>
      <sz val="10"/>
      <color rgb="FF000000"/>
      <name val="Calibri"/>
      <family val="2"/>
      <charset val="1"/>
    </font>
    <font>
      <b/>
      <sz val="10"/>
      <color rgb="FF000000"/>
      <name val="Calibri"/>
      <family val="2"/>
      <charset val="1"/>
    </font>
    <font>
      <sz val="10"/>
      <color rgb="FF0000FF"/>
      <name val="Calibri"/>
      <family val="2"/>
      <charset val="1"/>
    </font>
    <font>
      <sz val="12"/>
      <name val="Arial"/>
      <family val="2"/>
    </font>
    <font>
      <sz val="9"/>
      <color rgb="FF595959"/>
      <name val="Arial"/>
      <family val="2"/>
    </font>
    <font>
      <sz val="12"/>
      <color rgb="FF9C0006"/>
      <name val="Arial"/>
      <family val="2"/>
    </font>
    <font>
      <b/>
      <sz val="14"/>
      <name val="Arial"/>
      <family val="2"/>
    </font>
    <font>
      <sz val="11"/>
      <color rgb="FF000000"/>
      <name val="Arial"/>
      <family val="2"/>
    </font>
    <font>
      <sz val="11"/>
      <name val="Arial"/>
      <family val="2"/>
    </font>
    <font>
      <b/>
      <sz val="12"/>
      <color rgb="FFFFFFFF"/>
      <name val="Arial"/>
      <family val="2"/>
    </font>
    <font>
      <b/>
      <sz val="11"/>
      <color rgb="FFFFFFFF"/>
      <name val="Arial"/>
      <family val="2"/>
    </font>
    <font>
      <b/>
      <sz val="12"/>
      <name val="Arial"/>
      <family val="2"/>
    </font>
    <font>
      <b/>
      <sz val="11"/>
      <name val="Arial"/>
      <family val="2"/>
    </font>
    <font>
      <sz val="12"/>
      <color rgb="FF000000"/>
      <name val="Arial"/>
      <family val="2"/>
    </font>
    <font>
      <i/>
      <sz val="12"/>
      <color rgb="FF595959"/>
      <name val="Arial"/>
      <family val="2"/>
    </font>
    <font>
      <i/>
      <sz val="9"/>
      <color rgb="FF595959"/>
      <name val="Arial"/>
      <family val="2"/>
    </font>
    <font>
      <sz val="12"/>
      <color rgb="FF008000"/>
      <name val="Arial"/>
      <family val="2"/>
    </font>
    <font>
      <b/>
      <sz val="10"/>
      <color rgb="FF000000"/>
      <name val="Arial"/>
      <family val="2"/>
    </font>
    <font>
      <sz val="11"/>
      <color rgb="FF0000FF"/>
      <name val="Arial"/>
      <family val="2"/>
    </font>
    <font>
      <b/>
      <sz val="11"/>
      <color rgb="FF000000"/>
      <name val="Arial"/>
      <family val="2"/>
    </font>
    <font>
      <b/>
      <sz val="10"/>
      <color rgb="FFFFFFFF"/>
      <name val="Arial"/>
      <family val="2"/>
    </font>
    <font>
      <b/>
      <sz val="14"/>
      <color rgb="FF000000"/>
      <name val="Arial"/>
      <family val="2"/>
    </font>
    <font>
      <sz val="11"/>
      <color rgb="FF008000"/>
      <name val="Arial"/>
      <family val="2"/>
    </font>
    <font>
      <b/>
      <sz val="10"/>
      <name val="Arial"/>
      <family val="2"/>
    </font>
    <font>
      <sz val="10"/>
      <color rgb="FF008000"/>
      <name val="Arial"/>
      <family val="2"/>
    </font>
    <font>
      <sz val="10"/>
      <color rgb="FF0000FF"/>
      <name val="Arial"/>
      <family val="2"/>
    </font>
    <font>
      <sz val="11"/>
      <color rgb="FF000000"/>
      <name val="Calibri"/>
      <family val="2"/>
      <charset val="1"/>
    </font>
  </fonts>
  <fills count="12">
    <fill>
      <patternFill patternType="none"/>
    </fill>
    <fill>
      <patternFill patternType="gray125"/>
    </fill>
    <fill>
      <patternFill patternType="solid">
        <fgColor rgb="FF4A6670"/>
        <bgColor rgb="FF595959"/>
      </patternFill>
    </fill>
    <fill>
      <patternFill patternType="solid">
        <fgColor rgb="FFF2F2F2"/>
        <bgColor rgb="FFE3F0E5"/>
      </patternFill>
    </fill>
    <fill>
      <patternFill patternType="solid">
        <fgColor rgb="FFFFC7CE"/>
        <bgColor rgb="FFF4CCCC"/>
      </patternFill>
    </fill>
    <fill>
      <patternFill patternType="solid">
        <fgColor rgb="FFCBE4F7"/>
        <bgColor rgb="FFDDEBF7"/>
      </patternFill>
    </fill>
    <fill>
      <patternFill patternType="solid">
        <fgColor rgb="FFDDEBF7"/>
        <bgColor rgb="FFE3F0E5"/>
      </patternFill>
    </fill>
    <fill>
      <patternFill patternType="solid">
        <fgColor rgb="FFD9EAD3"/>
        <bgColor rgb="FFE3F0E5"/>
      </patternFill>
    </fill>
    <fill>
      <patternFill patternType="solid">
        <fgColor rgb="FFD0CECE"/>
        <bgColor rgb="FFD9D9D9"/>
      </patternFill>
    </fill>
    <fill>
      <patternFill patternType="solid">
        <fgColor rgb="FFF4CCCC"/>
        <bgColor rgb="FFFFC7CE"/>
      </patternFill>
    </fill>
    <fill>
      <patternFill patternType="solid">
        <fgColor rgb="FFE3F0E5"/>
        <bgColor rgb="FFDDEBF7"/>
      </patternFill>
    </fill>
    <fill>
      <patternFill patternType="solid">
        <fgColor rgb="FF8EFA00"/>
        <bgColor indexed="64"/>
      </patternFill>
    </fill>
  </fills>
  <borders count="14">
    <border>
      <left/>
      <right/>
      <top/>
      <bottom/>
      <diagonal/>
    </border>
    <border>
      <left/>
      <right/>
      <top/>
      <bottom style="medium">
        <color rgb="FF4A6670"/>
      </bottom>
      <diagonal/>
    </border>
    <border>
      <left/>
      <right/>
      <top/>
      <bottom style="thin">
        <color rgb="FF999999"/>
      </bottom>
      <diagonal/>
    </border>
    <border>
      <left/>
      <right/>
      <top/>
      <bottom style="thin">
        <color rgb="FFD9D9D9"/>
      </bottom>
      <diagonal/>
    </border>
    <border>
      <left/>
      <right/>
      <top style="thin">
        <color rgb="FFD9D9D9"/>
      </top>
      <bottom/>
      <diagonal/>
    </border>
    <border>
      <left/>
      <right/>
      <top style="thin">
        <color rgb="FFD9D9D9"/>
      </top>
      <bottom style="thin">
        <color rgb="FFD9D9D9"/>
      </bottom>
      <diagonal/>
    </border>
    <border>
      <left/>
      <right/>
      <top/>
      <bottom style="thin">
        <color rgb="FFB0B0B0"/>
      </bottom>
      <diagonal/>
    </border>
    <border>
      <left/>
      <right/>
      <top style="medium">
        <color rgb="FF4A6670"/>
      </top>
      <bottom/>
      <diagonal/>
    </border>
    <border>
      <left/>
      <right/>
      <top style="thin">
        <color rgb="FF999999"/>
      </top>
      <bottom style="thin">
        <color rgb="FFD9D9D9"/>
      </bottom>
      <diagonal/>
    </border>
    <border>
      <left/>
      <right/>
      <top style="medium">
        <color auto="1"/>
      </top>
      <bottom/>
      <diagonal/>
    </border>
    <border>
      <left/>
      <right/>
      <top/>
      <bottom style="thin">
        <color auto="1"/>
      </bottom>
      <diagonal/>
    </border>
    <border>
      <left/>
      <right/>
      <top style="thin">
        <color auto="1"/>
      </top>
      <bottom style="thin">
        <color auto="1"/>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44" fontId="56" fillId="0" borderId="0" applyFont="0" applyFill="0" applyBorder="0" applyAlignment="0" applyProtection="0"/>
    <xf numFmtId="9" fontId="56" fillId="0" borderId="0" applyFont="0" applyFill="0" applyBorder="0" applyAlignment="0" applyProtection="0"/>
  </cellStyleXfs>
  <cellXfs count="397">
    <xf numFmtId="0" fontId="0" fillId="0" borderId="0" xfId="0"/>
    <xf numFmtId="0" fontId="4" fillId="2" borderId="0" xfId="0" applyFont="1" applyFill="1"/>
    <xf numFmtId="0" fontId="11" fillId="0" borderId="3" xfId="0" applyFont="1" applyBorder="1" applyAlignment="1">
      <alignment vertical="center" wrapText="1"/>
    </xf>
    <xf numFmtId="0" fontId="4" fillId="2" borderId="0" xfId="0" applyFont="1" applyFill="1" applyAlignment="1">
      <alignment vertical="center"/>
    </xf>
    <xf numFmtId="0" fontId="2" fillId="0" borderId="1" xfId="0" applyFont="1" applyBorder="1" applyAlignment="1">
      <alignment vertical="top" wrapText="1"/>
    </xf>
    <xf numFmtId="0" fontId="3" fillId="0" borderId="0" xfId="0" applyFont="1"/>
    <xf numFmtId="0" fontId="5" fillId="3" borderId="2" xfId="0" applyFont="1" applyFill="1" applyBorder="1" applyAlignment="1">
      <alignment vertical="center"/>
    </xf>
    <xf numFmtId="0" fontId="0" fillId="2" borderId="0" xfId="0" applyFill="1"/>
    <xf numFmtId="0" fontId="8" fillId="3" borderId="2" xfId="0" applyFont="1" applyFill="1"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vertical="center"/>
    </xf>
    <xf numFmtId="1" fontId="9" fillId="5" borderId="3" xfId="0" applyNumberFormat="1" applyFont="1" applyFill="1" applyBorder="1" applyAlignment="1">
      <alignment vertical="center"/>
    </xf>
    <xf numFmtId="11" fontId="3" fillId="0" borderId="3" xfId="0" applyNumberFormat="1" applyFont="1" applyBorder="1" applyAlignment="1">
      <alignment vertical="center"/>
    </xf>
    <xf numFmtId="0" fontId="10" fillId="0" borderId="3" xfId="0" applyFont="1" applyBorder="1" applyAlignment="1">
      <alignment vertical="top" wrapText="1"/>
    </xf>
    <xf numFmtId="0" fontId="11" fillId="0" borderId="0" xfId="0" applyFont="1"/>
    <xf numFmtId="3" fontId="9" fillId="5" borderId="3" xfId="0" applyNumberFormat="1" applyFont="1" applyFill="1" applyBorder="1" applyAlignment="1">
      <alignment vertical="center"/>
    </xf>
    <xf numFmtId="3" fontId="3" fillId="0" borderId="3" xfId="0" applyNumberFormat="1" applyFont="1" applyBorder="1" applyAlignment="1">
      <alignment vertical="center"/>
    </xf>
    <xf numFmtId="0" fontId="11" fillId="0" borderId="3" xfId="0" applyFont="1" applyBorder="1"/>
    <xf numFmtId="2" fontId="9" fillId="5" borderId="3" xfId="0" applyNumberFormat="1" applyFont="1" applyFill="1" applyBorder="1" applyAlignment="1">
      <alignment vertical="center"/>
    </xf>
    <xf numFmtId="166" fontId="3" fillId="0" borderId="3" xfId="0" applyNumberFormat="1" applyFont="1" applyBorder="1" applyAlignment="1">
      <alignment vertical="center"/>
    </xf>
    <xf numFmtId="9" fontId="3" fillId="5" borderId="3" xfId="0" applyNumberFormat="1" applyFont="1" applyFill="1" applyBorder="1" applyAlignment="1">
      <alignment vertical="center"/>
    </xf>
    <xf numFmtId="0" fontId="0" fillId="0" borderId="3" xfId="0" applyBorder="1" applyAlignment="1">
      <alignment vertical="center"/>
    </xf>
    <xf numFmtId="3" fontId="3" fillId="5" borderId="3" xfId="0" applyNumberFormat="1" applyFont="1" applyFill="1" applyBorder="1" applyAlignment="1">
      <alignment vertical="center"/>
    </xf>
    <xf numFmtId="0" fontId="5" fillId="3" borderId="2" xfId="0" applyFont="1" applyFill="1" applyBorder="1" applyAlignment="1">
      <alignment vertical="top" wrapText="1"/>
    </xf>
    <xf numFmtId="167" fontId="3" fillId="0" borderId="3" xfId="0" applyNumberFormat="1" applyFont="1" applyBorder="1" applyAlignment="1">
      <alignment vertical="center"/>
    </xf>
    <xf numFmtId="0" fontId="11" fillId="0" borderId="5" xfId="0" applyFont="1" applyBorder="1" applyAlignment="1">
      <alignment vertical="center" wrapText="1"/>
    </xf>
    <xf numFmtId="0" fontId="5" fillId="3" borderId="2" xfId="0" applyFont="1" applyFill="1" applyBorder="1"/>
    <xf numFmtId="0" fontId="8" fillId="3" borderId="2" xfId="0" applyFont="1" applyFill="1" applyBorder="1" applyAlignment="1">
      <alignment vertical="top" wrapText="1"/>
    </xf>
    <xf numFmtId="168" fontId="3" fillId="5" borderId="3" xfId="0" applyNumberFormat="1" applyFont="1" applyFill="1" applyBorder="1" applyAlignment="1">
      <alignment vertical="center"/>
    </xf>
    <xf numFmtId="168" fontId="9" fillId="5" borderId="3" xfId="0" applyNumberFormat="1" applyFont="1" applyFill="1" applyBorder="1" applyAlignment="1">
      <alignment vertical="center"/>
    </xf>
    <xf numFmtId="0" fontId="11" fillId="0" borderId="5" xfId="0" applyFont="1" applyBorder="1" applyAlignment="1">
      <alignment horizontal="left" vertical="center" wrapText="1"/>
    </xf>
    <xf numFmtId="169" fontId="3" fillId="5" borderId="3" xfId="0" applyNumberFormat="1" applyFont="1" applyFill="1" applyBorder="1" applyAlignment="1">
      <alignment vertical="center"/>
    </xf>
    <xf numFmtId="0" fontId="12" fillId="2" borderId="0" xfId="0" applyFont="1" applyFill="1"/>
    <xf numFmtId="0" fontId="13" fillId="0" borderId="3" xfId="0" applyFont="1" applyBorder="1" applyAlignment="1">
      <alignment vertical="top" wrapText="1"/>
    </xf>
    <xf numFmtId="0" fontId="5" fillId="0" borderId="3" xfId="0" applyFont="1" applyBorder="1" applyAlignment="1">
      <alignment vertical="center" wrapText="1"/>
    </xf>
    <xf numFmtId="169" fontId="5" fillId="0" borderId="3" xfId="0" applyNumberFormat="1" applyFont="1" applyBorder="1" applyAlignment="1">
      <alignment vertical="center"/>
    </xf>
    <xf numFmtId="169" fontId="3" fillId="0" borderId="3" xfId="0" applyNumberFormat="1" applyFont="1" applyBorder="1" applyAlignment="1">
      <alignment vertical="center"/>
    </xf>
    <xf numFmtId="0" fontId="3" fillId="0" borderId="0" xfId="0" applyFont="1" applyAlignment="1">
      <alignment horizontal="right"/>
    </xf>
    <xf numFmtId="0" fontId="0" fillId="0" borderId="6" xfId="0" applyBorder="1"/>
    <xf numFmtId="0" fontId="5" fillId="0" borderId="3" xfId="0" applyFont="1" applyBorder="1" applyAlignment="1">
      <alignment vertical="center"/>
    </xf>
    <xf numFmtId="0" fontId="3" fillId="0" borderId="6" xfId="0" applyFont="1" applyBorder="1"/>
    <xf numFmtId="170" fontId="3" fillId="0" borderId="3" xfId="0" applyNumberFormat="1" applyFont="1" applyBorder="1" applyAlignment="1">
      <alignment vertical="center"/>
    </xf>
    <xf numFmtId="9" fontId="5" fillId="0" borderId="3" xfId="0" applyNumberFormat="1" applyFont="1" applyBorder="1" applyAlignment="1">
      <alignment vertical="center"/>
    </xf>
    <xf numFmtId="0" fontId="4" fillId="0" borderId="0" xfId="0" applyFont="1"/>
    <xf numFmtId="169" fontId="14" fillId="0" borderId="0" xfId="0" applyNumberFormat="1" applyFont="1"/>
    <xf numFmtId="0" fontId="11" fillId="0" borderId="0" xfId="0" applyFont="1" applyAlignment="1">
      <alignment horizontal="left" vertical="center" wrapText="1"/>
    </xf>
    <xf numFmtId="0" fontId="15" fillId="0" borderId="0" xfId="0" applyFont="1"/>
    <xf numFmtId="169" fontId="15" fillId="0" borderId="0" xfId="0" applyNumberFormat="1" applyFont="1"/>
    <xf numFmtId="1" fontId="9" fillId="0" borderId="3" xfId="0" applyNumberFormat="1" applyFont="1" applyBorder="1" applyAlignment="1">
      <alignment vertical="center"/>
    </xf>
    <xf numFmtId="169" fontId="16" fillId="0" borderId="3" xfId="0" applyNumberFormat="1" applyFont="1" applyBorder="1" applyAlignment="1">
      <alignment vertical="center"/>
    </xf>
    <xf numFmtId="3" fontId="16" fillId="0" borderId="3" xfId="0" applyNumberFormat="1" applyFont="1" applyBorder="1" applyAlignment="1">
      <alignment vertical="center"/>
    </xf>
    <xf numFmtId="0" fontId="4" fillId="8" borderId="0" xfId="0" applyFont="1" applyFill="1" applyAlignment="1">
      <alignment vertical="center"/>
    </xf>
    <xf numFmtId="1" fontId="3" fillId="9" borderId="3" xfId="0" applyNumberFormat="1" applyFont="1" applyFill="1" applyBorder="1" applyAlignment="1">
      <alignment vertical="center"/>
    </xf>
    <xf numFmtId="1" fontId="18" fillId="0" borderId="3" xfId="0" applyNumberFormat="1" applyFont="1" applyBorder="1" applyAlignment="1">
      <alignment vertical="center"/>
    </xf>
    <xf numFmtId="1" fontId="3" fillId="7" borderId="3" xfId="0" applyNumberFormat="1" applyFont="1" applyFill="1" applyBorder="1" applyAlignment="1">
      <alignment vertical="center"/>
    </xf>
    <xf numFmtId="0" fontId="19" fillId="8" borderId="6" xfId="0" applyFont="1" applyFill="1" applyBorder="1"/>
    <xf numFmtId="0" fontId="19" fillId="2" borderId="6" xfId="0" applyFont="1" applyFill="1" applyBorder="1" applyAlignment="1">
      <alignment vertical="top" wrapText="1"/>
    </xf>
    <xf numFmtId="9" fontId="3" fillId="0" borderId="3" xfId="0" applyNumberFormat="1" applyFont="1" applyBorder="1" applyAlignment="1">
      <alignment vertical="center"/>
    </xf>
    <xf numFmtId="9" fontId="18" fillId="0" borderId="3" xfId="0" applyNumberFormat="1" applyFont="1" applyBorder="1" applyAlignment="1">
      <alignment vertical="center"/>
    </xf>
    <xf numFmtId="167" fontId="6" fillId="0" borderId="6" xfId="0" applyNumberFormat="1" applyFont="1" applyBorder="1"/>
    <xf numFmtId="9" fontId="6" fillId="0" borderId="6" xfId="0" applyNumberFormat="1" applyFont="1" applyBorder="1"/>
    <xf numFmtId="169" fontId="6" fillId="0" borderId="6" xfId="0" applyNumberFormat="1" applyFont="1" applyBorder="1"/>
    <xf numFmtId="168" fontId="6" fillId="0" borderId="6" xfId="0" applyNumberFormat="1" applyFont="1" applyBorder="1"/>
    <xf numFmtId="3" fontId="6" fillId="0" borderId="6" xfId="0" applyNumberFormat="1" applyFont="1" applyBorder="1"/>
    <xf numFmtId="0" fontId="6" fillId="0" borderId="6" xfId="0" applyFont="1" applyBorder="1"/>
    <xf numFmtId="0" fontId="20" fillId="0" borderId="6" xfId="0" applyFont="1" applyBorder="1"/>
    <xf numFmtId="169" fontId="17" fillId="0" borderId="6" xfId="0" applyNumberFormat="1" applyFont="1" applyBorder="1" applyAlignment="1">
      <alignment vertical="top" wrapText="1"/>
    </xf>
    <xf numFmtId="3" fontId="3" fillId="9" borderId="3" xfId="0" applyNumberFormat="1" applyFont="1" applyFill="1" applyBorder="1" applyAlignment="1">
      <alignment vertical="center"/>
    </xf>
    <xf numFmtId="3" fontId="18" fillId="0" borderId="3" xfId="0" applyNumberFormat="1" applyFont="1" applyBorder="1" applyAlignment="1">
      <alignment vertical="center"/>
    </xf>
    <xf numFmtId="3" fontId="3" fillId="7" borderId="3" xfId="0" applyNumberFormat="1" applyFont="1" applyFill="1" applyBorder="1" applyAlignment="1">
      <alignment vertical="center"/>
    </xf>
    <xf numFmtId="169" fontId="3" fillId="9" borderId="3" xfId="0" applyNumberFormat="1" applyFont="1" applyFill="1" applyBorder="1" applyAlignment="1">
      <alignment vertical="center"/>
    </xf>
    <xf numFmtId="169" fontId="18" fillId="0" borderId="3" xfId="0" applyNumberFormat="1" applyFont="1" applyBorder="1" applyAlignment="1">
      <alignment vertical="center"/>
    </xf>
    <xf numFmtId="169" fontId="3" fillId="7" borderId="3" xfId="0" applyNumberFormat="1" applyFont="1" applyFill="1" applyBorder="1" applyAlignment="1">
      <alignment vertical="center"/>
    </xf>
    <xf numFmtId="9" fontId="3" fillId="9" borderId="3" xfId="0" applyNumberFormat="1" applyFont="1" applyFill="1" applyBorder="1" applyAlignment="1">
      <alignment vertical="center"/>
    </xf>
    <xf numFmtId="9" fontId="3" fillId="7" borderId="3" xfId="0" applyNumberFormat="1" applyFont="1" applyFill="1" applyBorder="1" applyAlignment="1">
      <alignment vertical="center"/>
    </xf>
    <xf numFmtId="168" fontId="3" fillId="9" borderId="3" xfId="0" applyNumberFormat="1" applyFont="1" applyFill="1" applyBorder="1" applyAlignment="1">
      <alignment vertical="center"/>
    </xf>
    <xf numFmtId="168" fontId="18" fillId="0" borderId="3" xfId="0" applyNumberFormat="1" applyFont="1" applyBorder="1" applyAlignment="1">
      <alignment vertical="center"/>
    </xf>
    <xf numFmtId="168" fontId="3" fillId="7" borderId="3" xfId="0" applyNumberFormat="1" applyFont="1" applyFill="1" applyBorder="1" applyAlignment="1">
      <alignment vertical="center"/>
    </xf>
    <xf numFmtId="11" fontId="3" fillId="9" borderId="3" xfId="0" applyNumberFormat="1" applyFont="1" applyFill="1" applyBorder="1" applyAlignment="1">
      <alignment vertical="center"/>
    </xf>
    <xf numFmtId="11" fontId="3" fillId="7" borderId="3" xfId="0" applyNumberFormat="1" applyFont="1" applyFill="1" applyBorder="1" applyAlignment="1">
      <alignment vertical="center"/>
    </xf>
    <xf numFmtId="0" fontId="3" fillId="0" borderId="3" xfId="0" applyFont="1" applyBorder="1"/>
    <xf numFmtId="166" fontId="3" fillId="9" borderId="3" xfId="0" applyNumberFormat="1" applyFont="1" applyFill="1" applyBorder="1"/>
    <xf numFmtId="166" fontId="3" fillId="0" borderId="3" xfId="0" applyNumberFormat="1" applyFont="1" applyBorder="1"/>
    <xf numFmtId="166" fontId="3" fillId="7" borderId="3" xfId="0" applyNumberFormat="1" applyFont="1" applyFill="1" applyBorder="1"/>
    <xf numFmtId="0" fontId="7" fillId="0" borderId="0" xfId="0" applyFont="1"/>
    <xf numFmtId="167" fontId="6" fillId="0" borderId="0" xfId="0" applyNumberFormat="1" applyFont="1"/>
    <xf numFmtId="9" fontId="6" fillId="0" borderId="0" xfId="0" applyNumberFormat="1" applyFont="1"/>
    <xf numFmtId="169" fontId="6" fillId="0" borderId="0" xfId="0" applyNumberFormat="1" applyFont="1"/>
    <xf numFmtId="168" fontId="6" fillId="0" borderId="0" xfId="0" applyNumberFormat="1" applyFont="1"/>
    <xf numFmtId="3" fontId="6" fillId="0" borderId="0" xfId="0" applyNumberFormat="1" applyFont="1"/>
    <xf numFmtId="0" fontId="6" fillId="0" borderId="0" xfId="0" applyFont="1"/>
    <xf numFmtId="0" fontId="20" fillId="0" borderId="0" xfId="0" applyFont="1"/>
    <xf numFmtId="169" fontId="17" fillId="0" borderId="0" xfId="0" applyNumberFormat="1" applyFont="1" applyAlignment="1">
      <alignment vertical="top" wrapText="1"/>
    </xf>
    <xf numFmtId="169" fontId="8" fillId="3" borderId="2" xfId="0" applyNumberFormat="1" applyFont="1" applyFill="1" applyBorder="1" applyAlignment="1">
      <alignment vertical="center" wrapText="1"/>
    </xf>
    <xf numFmtId="0" fontId="21" fillId="0" borderId="0" xfId="0" applyFont="1"/>
    <xf numFmtId="166" fontId="9" fillId="5" borderId="3" xfId="0" applyNumberFormat="1" applyFont="1" applyFill="1" applyBorder="1" applyAlignment="1">
      <alignment vertical="center"/>
    </xf>
    <xf numFmtId="164" fontId="18" fillId="0" borderId="3" xfId="0" applyNumberFormat="1" applyFont="1" applyBorder="1" applyAlignment="1">
      <alignment vertical="center"/>
    </xf>
    <xf numFmtId="0" fontId="6" fillId="0" borderId="3" xfId="0" applyFont="1" applyBorder="1" applyAlignment="1">
      <alignment vertical="center"/>
    </xf>
    <xf numFmtId="0" fontId="12" fillId="2" borderId="3" xfId="0" applyFont="1" applyFill="1" applyBorder="1" applyAlignment="1">
      <alignment vertical="center"/>
    </xf>
    <xf numFmtId="2" fontId="3" fillId="0" borderId="3" xfId="0" applyNumberFormat="1" applyFont="1" applyBorder="1" applyAlignment="1">
      <alignment vertical="center"/>
    </xf>
    <xf numFmtId="166" fontId="5" fillId="0" borderId="3" xfId="0" applyNumberFormat="1" applyFont="1" applyBorder="1" applyAlignment="1">
      <alignment vertical="center"/>
    </xf>
    <xf numFmtId="165" fontId="9" fillId="5" borderId="3" xfId="0" applyNumberFormat="1" applyFont="1" applyFill="1" applyBorder="1" applyAlignment="1">
      <alignment horizontal="right" vertical="center"/>
    </xf>
    <xf numFmtId="2" fontId="24" fillId="5" borderId="3" xfId="0" applyNumberFormat="1" applyFont="1" applyFill="1" applyBorder="1" applyAlignment="1">
      <alignment vertical="center"/>
    </xf>
    <xf numFmtId="171" fontId="9" fillId="5" borderId="3" xfId="0" applyNumberFormat="1" applyFont="1" applyFill="1" applyBorder="1" applyAlignment="1">
      <alignment vertical="center"/>
    </xf>
    <xf numFmtId="0" fontId="25" fillId="0" borderId="0" xfId="0" applyFont="1"/>
    <xf numFmtId="169" fontId="26" fillId="0" borderId="3" xfId="0" applyNumberFormat="1" applyFont="1" applyBorder="1" applyAlignment="1">
      <alignment vertical="center"/>
    </xf>
    <xf numFmtId="3" fontId="5" fillId="0" borderId="3" xfId="0" applyNumberFormat="1" applyFont="1" applyBorder="1" applyAlignment="1">
      <alignment vertical="center"/>
    </xf>
    <xf numFmtId="0" fontId="3" fillId="0" borderId="6" xfId="0" applyFont="1" applyBorder="1" applyAlignment="1">
      <alignment vertical="top" wrapText="1"/>
    </xf>
    <xf numFmtId="172" fontId="3" fillId="0" borderId="6" xfId="0" applyNumberFormat="1" applyFont="1" applyBorder="1"/>
    <xf numFmtId="0" fontId="11" fillId="0" borderId="6" xfId="0" applyFont="1" applyBorder="1" applyAlignment="1">
      <alignment vertical="top" wrapText="1"/>
    </xf>
    <xf numFmtId="0" fontId="2" fillId="0" borderId="0" xfId="0" applyFont="1"/>
    <xf numFmtId="0" fontId="8" fillId="3" borderId="3" xfId="0" applyFont="1" applyFill="1" applyBorder="1" applyAlignment="1">
      <alignment horizontal="left" vertical="center" wrapText="1"/>
    </xf>
    <xf numFmtId="0" fontId="8" fillId="3" borderId="3" xfId="0" applyFont="1" applyFill="1" applyBorder="1" applyAlignment="1">
      <alignment horizontal="right" vertical="center" wrapText="1"/>
    </xf>
    <xf numFmtId="0" fontId="16" fillId="0" borderId="3" xfId="0" applyFont="1" applyBorder="1" applyAlignment="1">
      <alignment vertical="center" wrapText="1"/>
    </xf>
    <xf numFmtId="167" fontId="9" fillId="5" borderId="3" xfId="0" applyNumberFormat="1" applyFont="1" applyFill="1" applyBorder="1" applyAlignment="1">
      <alignment vertical="center"/>
    </xf>
    <xf numFmtId="167" fontId="16" fillId="0" borderId="3" xfId="0" applyNumberFormat="1" applyFont="1" applyBorder="1" applyAlignment="1">
      <alignment vertical="center"/>
    </xf>
    <xf numFmtId="172" fontId="16" fillId="0" borderId="3" xfId="0" applyNumberFormat="1" applyFont="1" applyBorder="1" applyAlignment="1">
      <alignment vertical="center"/>
    </xf>
    <xf numFmtId="172" fontId="22" fillId="0" borderId="3" xfId="0" applyNumberFormat="1" applyFont="1" applyBorder="1" applyAlignment="1">
      <alignment vertical="center"/>
    </xf>
    <xf numFmtId="172" fontId="0" fillId="0" borderId="0" xfId="0" applyNumberFormat="1"/>
    <xf numFmtId="2" fontId="16" fillId="0" borderId="3" xfId="0" applyNumberFormat="1" applyFont="1" applyBorder="1" applyAlignment="1">
      <alignment vertical="center"/>
    </xf>
    <xf numFmtId="167" fontId="16" fillId="0" borderId="0" xfId="0" applyNumberFormat="1" applyFont="1" applyAlignment="1">
      <alignment vertical="center" wrapText="1"/>
    </xf>
    <xf numFmtId="172" fontId="6" fillId="0" borderId="0" xfId="0" applyNumberFormat="1" applyFont="1"/>
    <xf numFmtId="2" fontId="6" fillId="0" borderId="0" xfId="0" applyNumberFormat="1" applyFont="1"/>
    <xf numFmtId="0" fontId="6" fillId="0" borderId="3" xfId="0" applyFont="1" applyBorder="1" applyAlignment="1">
      <alignment vertical="center" wrapText="1"/>
    </xf>
    <xf numFmtId="0" fontId="11" fillId="0" borderId="8" xfId="0" applyFont="1" applyBorder="1" applyAlignment="1">
      <alignment vertical="center" wrapText="1"/>
    </xf>
    <xf numFmtId="0" fontId="4" fillId="2" borderId="9" xfId="0" applyFont="1" applyFill="1" applyBorder="1" applyAlignment="1">
      <alignment vertical="top" wrapText="1"/>
    </xf>
    <xf numFmtId="0" fontId="8" fillId="3" borderId="10" xfId="0" applyFont="1" applyFill="1" applyBorder="1"/>
    <xf numFmtId="0" fontId="29" fillId="0" borderId="10" xfId="0" applyFont="1" applyBorder="1"/>
    <xf numFmtId="3" fontId="24" fillId="5" borderId="10" xfId="0" applyNumberFormat="1" applyFont="1" applyFill="1" applyBorder="1" applyAlignment="1">
      <alignment horizontal="center"/>
    </xf>
    <xf numFmtId="0" fontId="11" fillId="0" borderId="11" xfId="0" applyFont="1" applyBorder="1" applyAlignment="1">
      <alignment vertical="top" wrapText="1"/>
    </xf>
    <xf numFmtId="9" fontId="30" fillId="0" borderId="10" xfId="0" applyNumberFormat="1" applyFont="1" applyBorder="1" applyAlignment="1">
      <alignment horizontal="center"/>
    </xf>
    <xf numFmtId="166" fontId="30" fillId="0" borderId="10" xfId="0" applyNumberFormat="1" applyFont="1" applyBorder="1" applyAlignment="1">
      <alignment horizontal="center"/>
    </xf>
    <xf numFmtId="165" fontId="30" fillId="0" borderId="10" xfId="0" applyNumberFormat="1" applyFont="1" applyBorder="1" applyAlignment="1">
      <alignment horizontal="center"/>
    </xf>
    <xf numFmtId="3" fontId="30" fillId="0" borderId="10" xfId="0" applyNumberFormat="1" applyFont="1" applyBorder="1" applyAlignment="1">
      <alignment horizontal="center"/>
    </xf>
    <xf numFmtId="169" fontId="24" fillId="5" borderId="10" xfId="0" applyNumberFormat="1" applyFont="1" applyFill="1" applyBorder="1" applyAlignment="1">
      <alignment horizontal="center"/>
    </xf>
    <xf numFmtId="169" fontId="30" fillId="0" borderId="10" xfId="0" applyNumberFormat="1" applyFont="1" applyBorder="1" applyAlignment="1">
      <alignment horizontal="center"/>
    </xf>
    <xf numFmtId="169" fontId="31" fillId="0" borderId="10" xfId="0" applyNumberFormat="1" applyFont="1" applyBorder="1" applyAlignment="1">
      <alignment horizontal="center"/>
    </xf>
    <xf numFmtId="0" fontId="29" fillId="0" borderId="0" xfId="0" applyFont="1"/>
    <xf numFmtId="2" fontId="32" fillId="5" borderId="10" xfId="0" applyNumberFormat="1" applyFont="1" applyFill="1" applyBorder="1" applyAlignment="1">
      <alignment horizontal="center"/>
    </xf>
    <xf numFmtId="0" fontId="13" fillId="0" borderId="11" xfId="0" applyFont="1" applyBorder="1" applyAlignment="1">
      <alignment vertical="top" wrapText="1"/>
    </xf>
    <xf numFmtId="166" fontId="30" fillId="5" borderId="10" xfId="0" applyNumberFormat="1" applyFont="1" applyFill="1" applyBorder="1" applyAlignment="1">
      <alignment horizontal="center"/>
    </xf>
    <xf numFmtId="173" fontId="31" fillId="0" borderId="10" xfId="0" applyNumberFormat="1" applyFont="1" applyBorder="1" applyAlignment="1">
      <alignment horizontal="center"/>
    </xf>
    <xf numFmtId="173" fontId="29" fillId="0" borderId="0" xfId="0" applyNumberFormat="1" applyFont="1"/>
    <xf numFmtId="0" fontId="0" fillId="2" borderId="9" xfId="0" applyFill="1" applyBorder="1"/>
    <xf numFmtId="1" fontId="32" fillId="5" borderId="10" xfId="0" applyNumberFormat="1" applyFont="1" applyFill="1" applyBorder="1" applyAlignment="1">
      <alignment horizontal="center"/>
    </xf>
    <xf numFmtId="2" fontId="30" fillId="0" borderId="10" xfId="0" applyNumberFormat="1" applyFont="1" applyBorder="1" applyAlignment="1">
      <alignment horizontal="center"/>
    </xf>
    <xf numFmtId="0" fontId="29" fillId="0" borderId="10" xfId="0" applyFont="1" applyBorder="1" applyAlignment="1">
      <alignment vertical="top" wrapText="1"/>
    </xf>
    <xf numFmtId="169" fontId="29" fillId="0" borderId="0" xfId="0" applyNumberFormat="1" applyFont="1"/>
    <xf numFmtId="0" fontId="0" fillId="0" borderId="6" xfId="0" applyBorder="1" applyAlignment="1">
      <alignment vertical="top" wrapText="1"/>
    </xf>
    <xf numFmtId="2" fontId="9" fillId="5" borderId="6" xfId="0" applyNumberFormat="1" applyFont="1" applyFill="1" applyBorder="1"/>
    <xf numFmtId="0" fontId="29" fillId="3" borderId="10" xfId="0" applyFont="1" applyFill="1" applyBorder="1"/>
    <xf numFmtId="2" fontId="24" fillId="5" borderId="10" xfId="0" applyNumberFormat="1" applyFont="1" applyFill="1" applyBorder="1" applyAlignment="1">
      <alignment horizontal="center"/>
    </xf>
    <xf numFmtId="166" fontId="29" fillId="0" borderId="10" xfId="0" applyNumberFormat="1" applyFont="1" applyBorder="1" applyAlignment="1">
      <alignment horizontal="center"/>
    </xf>
    <xf numFmtId="3" fontId="29" fillId="0" borderId="10" xfId="0" applyNumberFormat="1" applyFont="1" applyBorder="1" applyAlignment="1">
      <alignment horizontal="center"/>
    </xf>
    <xf numFmtId="1" fontId="29" fillId="0" borderId="10" xfId="0" applyNumberFormat="1" applyFont="1" applyBorder="1" applyAlignment="1">
      <alignment horizontal="center"/>
    </xf>
    <xf numFmtId="169" fontId="29" fillId="0" borderId="10" xfId="0" applyNumberFormat="1" applyFont="1" applyBorder="1" applyAlignment="1">
      <alignment horizontal="center"/>
    </xf>
    <xf numFmtId="169" fontId="15" fillId="0" borderId="10" xfId="0" applyNumberFormat="1" applyFont="1" applyBorder="1" applyAlignment="1">
      <alignment horizontal="center"/>
    </xf>
    <xf numFmtId="167" fontId="24" fillId="5" borderId="10" xfId="0" applyNumberFormat="1" applyFont="1" applyFill="1" applyBorder="1" applyAlignment="1">
      <alignment horizontal="center"/>
    </xf>
    <xf numFmtId="167" fontId="29" fillId="0" borderId="10" xfId="0" applyNumberFormat="1" applyFont="1" applyBorder="1" applyAlignment="1">
      <alignment horizontal="center"/>
    </xf>
    <xf numFmtId="173" fontId="15" fillId="0" borderId="10" xfId="0" applyNumberFormat="1" applyFont="1" applyBorder="1" applyAlignment="1">
      <alignment horizontal="center"/>
    </xf>
    <xf numFmtId="0" fontId="0" fillId="3" borderId="10" xfId="0" applyFill="1" applyBorder="1"/>
    <xf numFmtId="0" fontId="24" fillId="5" borderId="10" xfId="0" applyFont="1" applyFill="1" applyBorder="1" applyAlignment="1">
      <alignment horizontal="center"/>
    </xf>
    <xf numFmtId="175" fontId="24" fillId="5" borderId="10" xfId="0" applyNumberFormat="1" applyFont="1" applyFill="1" applyBorder="1" applyAlignment="1">
      <alignment horizontal="center"/>
    </xf>
    <xf numFmtId="173" fontId="29" fillId="0" borderId="10" xfId="0" applyNumberFormat="1" applyFont="1" applyBorder="1" applyAlignment="1">
      <alignment horizontal="center"/>
    </xf>
    <xf numFmtId="0" fontId="13" fillId="0" borderId="0" xfId="0" applyFont="1" applyAlignment="1">
      <alignment vertical="top" wrapText="1"/>
    </xf>
    <xf numFmtId="0" fontId="33" fillId="0" borderId="0" xfId="0" applyFont="1"/>
    <xf numFmtId="0" fontId="36" fillId="0" borderId="1" xfId="0" applyFont="1" applyBorder="1" applyAlignment="1">
      <alignment vertical="top" wrapText="1"/>
    </xf>
    <xf numFmtId="0" fontId="37" fillId="0" borderId="0" xfId="0" applyFont="1"/>
    <xf numFmtId="0" fontId="38" fillId="0" borderId="0" xfId="0" applyFont="1"/>
    <xf numFmtId="0" fontId="39" fillId="2" borderId="0" xfId="0" applyFont="1" applyFill="1" applyAlignment="1">
      <alignment vertical="center"/>
    </xf>
    <xf numFmtId="0" fontId="40" fillId="2" borderId="0" xfId="0" applyFont="1" applyFill="1" applyAlignment="1">
      <alignment vertical="center"/>
    </xf>
    <xf numFmtId="0" fontId="41" fillId="3" borderId="2" xfId="0" applyFont="1" applyFill="1" applyBorder="1" applyAlignment="1">
      <alignment vertical="center"/>
    </xf>
    <xf numFmtId="0" fontId="42" fillId="3" borderId="2" xfId="0" applyFont="1" applyFill="1" applyBorder="1" applyAlignment="1">
      <alignment vertical="center"/>
    </xf>
    <xf numFmtId="0" fontId="43" fillId="0" borderId="0" xfId="0" applyFont="1"/>
    <xf numFmtId="0" fontId="39" fillId="0" borderId="0" xfId="0" applyFont="1" applyAlignment="1">
      <alignment vertical="center"/>
    </xf>
    <xf numFmtId="0" fontId="44" fillId="0" borderId="0" xfId="0" applyFont="1" applyAlignment="1">
      <alignment vertical="top" wrapText="1"/>
    </xf>
    <xf numFmtId="0" fontId="45" fillId="0" borderId="0" xfId="0" applyFont="1" applyAlignment="1">
      <alignment vertical="top" wrapText="1"/>
    </xf>
    <xf numFmtId="9" fontId="33" fillId="5" borderId="3" xfId="0" applyNumberFormat="1" applyFont="1" applyFill="1" applyBorder="1" applyAlignment="1">
      <alignment vertical="center"/>
    </xf>
    <xf numFmtId="3" fontId="46" fillId="0" borderId="3" xfId="0" applyNumberFormat="1" applyFont="1" applyBorder="1" applyAlignment="1">
      <alignment vertical="center"/>
    </xf>
    <xf numFmtId="0" fontId="37" fillId="0" borderId="1" xfId="0" applyFont="1" applyBorder="1"/>
    <xf numFmtId="0" fontId="37" fillId="2" borderId="0" xfId="0" applyFont="1" applyFill="1"/>
    <xf numFmtId="0" fontId="47" fillId="3" borderId="2" xfId="0" applyFont="1" applyFill="1" applyBorder="1" applyAlignment="1">
      <alignment vertical="center"/>
    </xf>
    <xf numFmtId="0" fontId="47" fillId="3" borderId="2" xfId="0" applyFont="1" applyFill="1" applyBorder="1" applyAlignment="1">
      <alignment vertical="center" wrapText="1"/>
    </xf>
    <xf numFmtId="0" fontId="38" fillId="0" borderId="3" xfId="0" applyFont="1" applyBorder="1" applyAlignment="1">
      <alignment vertical="center" wrapText="1"/>
    </xf>
    <xf numFmtId="11" fontId="48" fillId="5" borderId="3" xfId="0" applyNumberFormat="1" applyFont="1" applyFill="1" applyBorder="1" applyAlignment="1">
      <alignment vertical="center"/>
    </xf>
    <xf numFmtId="0" fontId="38" fillId="0" borderId="3" xfId="0" applyFont="1" applyBorder="1" applyAlignment="1">
      <alignment vertical="center"/>
    </xf>
    <xf numFmtId="0" fontId="45" fillId="0" borderId="3" xfId="0" applyFont="1" applyBorder="1" applyAlignment="1">
      <alignment vertical="top" wrapText="1"/>
    </xf>
    <xf numFmtId="9" fontId="48" fillId="5" borderId="3" xfId="0" applyNumberFormat="1" applyFont="1" applyFill="1" applyBorder="1" applyAlignment="1">
      <alignment vertical="center"/>
    </xf>
    <xf numFmtId="1" fontId="48" fillId="5" borderId="3" xfId="0" applyNumberFormat="1" applyFont="1" applyFill="1" applyBorder="1" applyAlignment="1">
      <alignment vertical="center"/>
    </xf>
    <xf numFmtId="164" fontId="38" fillId="0" borderId="3" xfId="0" applyNumberFormat="1" applyFont="1" applyBorder="1" applyAlignment="1">
      <alignment vertical="center"/>
    </xf>
    <xf numFmtId="11" fontId="38" fillId="0" borderId="3" xfId="0" applyNumberFormat="1" applyFont="1" applyBorder="1" applyAlignment="1">
      <alignment vertical="center"/>
    </xf>
    <xf numFmtId="165" fontId="38" fillId="0" borderId="3" xfId="0" applyNumberFormat="1" applyFont="1" applyBorder="1" applyAlignment="1">
      <alignment vertical="center"/>
    </xf>
    <xf numFmtId="3" fontId="38" fillId="0" borderId="0" xfId="0" applyNumberFormat="1" applyFont="1"/>
    <xf numFmtId="0" fontId="34" fillId="0" borderId="0" xfId="0" applyFont="1"/>
    <xf numFmtId="3" fontId="48" fillId="5" borderId="3" xfId="0" applyNumberFormat="1" applyFont="1" applyFill="1" applyBorder="1" applyAlignment="1">
      <alignment vertical="center"/>
    </xf>
    <xf numFmtId="3" fontId="38" fillId="0" borderId="3" xfId="0" applyNumberFormat="1" applyFont="1" applyBorder="1" applyAlignment="1">
      <alignment vertical="center"/>
    </xf>
    <xf numFmtId="0" fontId="42" fillId="0" borderId="3" xfId="0" applyFont="1" applyBorder="1"/>
    <xf numFmtId="166" fontId="42" fillId="0" borderId="3" xfId="0" applyNumberFormat="1" applyFont="1" applyBorder="1"/>
    <xf numFmtId="0" fontId="34" fillId="0" borderId="3" xfId="0" applyFont="1" applyBorder="1"/>
    <xf numFmtId="2" fontId="48" fillId="5" borderId="3" xfId="0" applyNumberFormat="1" applyFont="1" applyFill="1" applyBorder="1" applyAlignment="1">
      <alignment vertical="center"/>
    </xf>
    <xf numFmtId="166" fontId="38" fillId="0" borderId="3" xfId="0" applyNumberFormat="1" applyFont="1" applyBorder="1" applyAlignment="1">
      <alignment vertical="center"/>
    </xf>
    <xf numFmtId="0" fontId="34" fillId="0" borderId="0" xfId="0" applyFont="1" applyAlignment="1">
      <alignment vertical="top" wrapText="1"/>
    </xf>
    <xf numFmtId="0" fontId="42" fillId="6" borderId="0" xfId="0" applyFont="1" applyFill="1" applyAlignment="1">
      <alignment horizontal="center" vertical="center" wrapText="1"/>
    </xf>
    <xf numFmtId="0" fontId="34" fillId="0" borderId="0" xfId="0" applyFont="1" applyAlignment="1">
      <alignment vertical="center" wrapText="1"/>
    </xf>
    <xf numFmtId="0" fontId="42" fillId="0" borderId="0" xfId="0" applyFont="1" applyAlignment="1">
      <alignment horizontal="center" vertical="center"/>
    </xf>
    <xf numFmtId="0" fontId="42" fillId="7" borderId="0" xfId="0" applyFont="1" applyFill="1" applyAlignment="1">
      <alignment horizontal="center" vertical="center" wrapText="1"/>
    </xf>
    <xf numFmtId="164" fontId="38" fillId="0" borderId="0" xfId="0" applyNumberFormat="1" applyFont="1"/>
    <xf numFmtId="2" fontId="38" fillId="0" borderId="0" xfId="0" applyNumberFormat="1" applyFont="1"/>
    <xf numFmtId="0" fontId="34" fillId="0" borderId="3" xfId="0" applyFont="1" applyBorder="1" applyAlignment="1">
      <alignment vertical="top" wrapText="1"/>
    </xf>
    <xf numFmtId="0" fontId="0" fillId="0" borderId="1" xfId="0" applyBorder="1"/>
    <xf numFmtId="0" fontId="0" fillId="0" borderId="4" xfId="0" applyBorder="1"/>
    <xf numFmtId="3" fontId="0" fillId="0" borderId="0" xfId="0" applyNumberFormat="1"/>
    <xf numFmtId="169" fontId="0" fillId="0" borderId="0" xfId="0" applyNumberFormat="1"/>
    <xf numFmtId="171" fontId="0" fillId="0" borderId="0" xfId="0" applyNumberFormat="1"/>
    <xf numFmtId="169" fontId="11" fillId="0" borderId="3" xfId="0" applyNumberFormat="1" applyFont="1" applyBorder="1" applyAlignment="1">
      <alignment vertical="center" wrapText="1"/>
    </xf>
    <xf numFmtId="0" fontId="0" fillId="0" borderId="3" xfId="0" applyBorder="1"/>
    <xf numFmtId="169" fontId="11" fillId="0" borderId="3" xfId="0" applyNumberFormat="1" applyFont="1" applyBorder="1" applyAlignment="1">
      <alignment vertical="center"/>
    </xf>
    <xf numFmtId="0" fontId="11" fillId="0" borderId="6" xfId="0" applyFont="1" applyBorder="1"/>
    <xf numFmtId="0" fontId="11" fillId="0" borderId="3" xfId="0" applyFont="1" applyBorder="1" applyAlignment="1">
      <alignment vertical="center"/>
    </xf>
    <xf numFmtId="0" fontId="0" fillId="0" borderId="0" xfId="0" applyAlignment="1">
      <alignment wrapText="1"/>
    </xf>
    <xf numFmtId="166" fontId="0" fillId="0" borderId="0" xfId="0" applyNumberFormat="1"/>
    <xf numFmtId="169" fontId="38" fillId="5" borderId="3" xfId="0" applyNumberFormat="1" applyFont="1" applyFill="1" applyBorder="1" applyAlignment="1">
      <alignment vertical="center"/>
    </xf>
    <xf numFmtId="0" fontId="34" fillId="0" borderId="5" xfId="0" applyFont="1" applyBorder="1" applyAlignment="1">
      <alignment vertical="center" wrapText="1"/>
    </xf>
    <xf numFmtId="3" fontId="38" fillId="5" borderId="3" xfId="0" applyNumberFormat="1" applyFont="1" applyFill="1" applyBorder="1" applyAlignment="1">
      <alignment vertical="center"/>
    </xf>
    <xf numFmtId="168" fontId="48" fillId="5" borderId="3" xfId="0" applyNumberFormat="1" applyFont="1" applyFill="1" applyBorder="1" applyAlignment="1">
      <alignment vertical="center"/>
    </xf>
    <xf numFmtId="169" fontId="38" fillId="0" borderId="3" xfId="0" applyNumberFormat="1" applyFont="1" applyBorder="1" applyAlignment="1">
      <alignment vertical="center"/>
    </xf>
    <xf numFmtId="9" fontId="38" fillId="5" borderId="3" xfId="0" applyNumberFormat="1" applyFont="1" applyFill="1" applyBorder="1" applyAlignment="1">
      <alignment vertical="center"/>
    </xf>
    <xf numFmtId="0" fontId="37" fillId="0" borderId="3" xfId="0" applyFont="1" applyBorder="1" applyAlignment="1">
      <alignment vertical="center"/>
    </xf>
    <xf numFmtId="169" fontId="42" fillId="0" borderId="3" xfId="0" applyNumberFormat="1" applyFont="1" applyBorder="1" applyAlignment="1">
      <alignment vertical="center"/>
    </xf>
    <xf numFmtId="171" fontId="38" fillId="0" borderId="3" xfId="0" applyNumberFormat="1" applyFont="1" applyBorder="1" applyAlignment="1">
      <alignment vertical="center"/>
    </xf>
    <xf numFmtId="0" fontId="42" fillId="0" borderId="3" xfId="0" applyFont="1" applyBorder="1" applyAlignment="1">
      <alignment vertical="center" wrapText="1"/>
    </xf>
    <xf numFmtId="169" fontId="42" fillId="10" borderId="3" xfId="0" applyNumberFormat="1" applyFont="1" applyFill="1" applyBorder="1" applyAlignment="1">
      <alignment vertical="center"/>
    </xf>
    <xf numFmtId="0" fontId="49" fillId="0" borderId="0" xfId="0" applyFont="1"/>
    <xf numFmtId="9" fontId="42" fillId="0" borderId="3" xfId="0" applyNumberFormat="1" applyFont="1" applyBorder="1" applyAlignment="1">
      <alignment vertical="center"/>
    </xf>
    <xf numFmtId="0" fontId="50" fillId="2" borderId="0" xfId="0" applyFont="1" applyFill="1"/>
    <xf numFmtId="0" fontId="47" fillId="3" borderId="2" xfId="0" applyFont="1" applyFill="1" applyBorder="1" applyAlignment="1">
      <alignment vertical="top" wrapText="1"/>
    </xf>
    <xf numFmtId="9" fontId="38" fillId="0" borderId="3" xfId="0" applyNumberFormat="1" applyFont="1" applyBorder="1" applyAlignment="1">
      <alignment vertical="center"/>
    </xf>
    <xf numFmtId="0" fontId="42" fillId="3" borderId="13" xfId="0" applyFont="1" applyFill="1" applyBorder="1" applyAlignment="1">
      <alignment vertical="top"/>
    </xf>
    <xf numFmtId="0" fontId="38" fillId="0" borderId="13" xfId="0" applyFont="1" applyBorder="1" applyAlignment="1">
      <alignment vertical="top" wrapText="1"/>
    </xf>
    <xf numFmtId="0" fontId="42" fillId="3" borderId="13" xfId="0" applyFont="1" applyFill="1" applyBorder="1" applyAlignment="1">
      <alignment vertical="top" wrapText="1"/>
    </xf>
    <xf numFmtId="0" fontId="42" fillId="0" borderId="13" xfId="0" applyFont="1" applyBorder="1" applyAlignment="1">
      <alignment vertical="top"/>
    </xf>
    <xf numFmtId="11" fontId="38" fillId="0" borderId="13" xfId="0" applyNumberFormat="1" applyFont="1" applyBorder="1" applyAlignment="1">
      <alignment vertical="top" wrapText="1"/>
    </xf>
    <xf numFmtId="0" fontId="40" fillId="2" borderId="13" xfId="0" applyFont="1" applyFill="1" applyBorder="1" applyAlignment="1">
      <alignment vertical="top"/>
    </xf>
    <xf numFmtId="0" fontId="40" fillId="2" borderId="13" xfId="0" applyFont="1" applyFill="1" applyBorder="1" applyAlignment="1">
      <alignment vertical="top" wrapText="1"/>
    </xf>
    <xf numFmtId="1" fontId="48" fillId="5" borderId="13" xfId="0" applyNumberFormat="1" applyFont="1" applyFill="1" applyBorder="1" applyAlignment="1">
      <alignment vertical="top" wrapText="1"/>
    </xf>
    <xf numFmtId="11" fontId="48" fillId="5" borderId="13" xfId="0" applyNumberFormat="1" applyFont="1" applyFill="1" applyBorder="1" applyAlignment="1">
      <alignment vertical="top" wrapText="1"/>
    </xf>
    <xf numFmtId="3" fontId="38" fillId="0" borderId="13" xfId="0" applyNumberFormat="1" applyFont="1" applyBorder="1" applyAlignment="1">
      <alignment vertical="top" wrapText="1"/>
    </xf>
    <xf numFmtId="0" fontId="42" fillId="0" borderId="13" xfId="0" applyFont="1" applyBorder="1" applyAlignment="1">
      <alignment vertical="top" wrapText="1"/>
    </xf>
    <xf numFmtId="167" fontId="48" fillId="5" borderId="13" xfId="0" applyNumberFormat="1" applyFont="1" applyFill="1" applyBorder="1" applyAlignment="1">
      <alignment vertical="top" wrapText="1"/>
    </xf>
    <xf numFmtId="3" fontId="48" fillId="5" borderId="13" xfId="0" applyNumberFormat="1" applyFont="1" applyFill="1" applyBorder="1" applyAlignment="1">
      <alignment vertical="top" wrapText="1"/>
    </xf>
    <xf numFmtId="2" fontId="38" fillId="0" borderId="13" xfId="0" applyNumberFormat="1" applyFont="1" applyBorder="1" applyAlignment="1">
      <alignment vertical="top" wrapText="1"/>
    </xf>
    <xf numFmtId="171" fontId="52" fillId="0" borderId="13" xfId="0" applyNumberFormat="1" applyFont="1" applyBorder="1" applyAlignment="1">
      <alignment vertical="top" wrapText="1"/>
    </xf>
    <xf numFmtId="167" fontId="38" fillId="0" borderId="13" xfId="0" applyNumberFormat="1" applyFont="1" applyBorder="1" applyAlignment="1">
      <alignment vertical="top" wrapText="1"/>
    </xf>
    <xf numFmtId="11" fontId="52" fillId="0" borderId="13" xfId="0" applyNumberFormat="1" applyFont="1" applyBorder="1" applyAlignment="1">
      <alignment vertical="top" wrapText="1"/>
    </xf>
    <xf numFmtId="2" fontId="52" fillId="0" borderId="13" xfId="0" applyNumberFormat="1" applyFont="1" applyBorder="1" applyAlignment="1">
      <alignment vertical="top" wrapText="1"/>
    </xf>
    <xf numFmtId="2" fontId="48" fillId="5" borderId="13" xfId="0" applyNumberFormat="1" applyFont="1" applyFill="1" applyBorder="1" applyAlignment="1">
      <alignment vertical="top" wrapText="1"/>
    </xf>
    <xf numFmtId="165" fontId="38" fillId="0" borderId="13" xfId="0" applyNumberFormat="1" applyFont="1" applyBorder="1" applyAlignment="1">
      <alignment vertical="top" wrapText="1"/>
    </xf>
    <xf numFmtId="169" fontId="52" fillId="0" borderId="13" xfId="0" applyNumberFormat="1" applyFont="1" applyBorder="1" applyAlignment="1">
      <alignment vertical="top" wrapText="1"/>
    </xf>
    <xf numFmtId="169" fontId="38" fillId="0" borderId="13" xfId="0" applyNumberFormat="1" applyFont="1" applyBorder="1" applyAlignment="1">
      <alignment vertical="top" wrapText="1"/>
    </xf>
    <xf numFmtId="1" fontId="52" fillId="0" borderId="13" xfId="0" applyNumberFormat="1" applyFont="1" applyBorder="1" applyAlignment="1">
      <alignment vertical="top" wrapText="1"/>
    </xf>
    <xf numFmtId="170" fontId="38" fillId="0" borderId="13" xfId="0" applyNumberFormat="1" applyFont="1" applyBorder="1" applyAlignment="1">
      <alignment vertical="top" wrapText="1"/>
    </xf>
    <xf numFmtId="169" fontId="52" fillId="0" borderId="0" xfId="0" applyNumberFormat="1" applyFont="1"/>
    <xf numFmtId="0" fontId="40" fillId="2" borderId="0" xfId="0" applyFont="1" applyFill="1"/>
    <xf numFmtId="1" fontId="52" fillId="0" borderId="0" xfId="0" applyNumberFormat="1" applyFont="1"/>
    <xf numFmtId="0" fontId="42" fillId="0" borderId="0" xfId="0" applyFont="1"/>
    <xf numFmtId="2" fontId="52" fillId="0" borderId="0" xfId="0" applyNumberFormat="1" applyFont="1"/>
    <xf numFmtId="11" fontId="40" fillId="2" borderId="13" xfId="0" applyNumberFormat="1" applyFont="1" applyFill="1" applyBorder="1" applyAlignment="1">
      <alignment vertical="top" wrapText="1"/>
    </xf>
    <xf numFmtId="168" fontId="38" fillId="0" borderId="13" xfId="0" applyNumberFormat="1" applyFont="1" applyBorder="1" applyAlignment="1">
      <alignment vertical="top" wrapText="1"/>
    </xf>
    <xf numFmtId="174" fontId="38" fillId="0" borderId="13" xfId="0" applyNumberFormat="1" applyFont="1" applyBorder="1" applyAlignment="1">
      <alignment vertical="top" wrapText="1"/>
    </xf>
    <xf numFmtId="0" fontId="47" fillId="3" borderId="2" xfId="0" applyFont="1" applyFill="1" applyBorder="1" applyAlignment="1">
      <alignment horizontal="center" vertical="center" wrapText="1"/>
    </xf>
    <xf numFmtId="0" fontId="1" fillId="0" borderId="3" xfId="0" applyFont="1" applyBorder="1" applyAlignment="1">
      <alignment vertical="center" wrapText="1"/>
    </xf>
    <xf numFmtId="0" fontId="1" fillId="0" borderId="3" xfId="0" applyFont="1" applyBorder="1" applyAlignment="1">
      <alignment vertical="center"/>
    </xf>
    <xf numFmtId="165" fontId="1" fillId="0" borderId="3" xfId="0" applyNumberFormat="1" applyFont="1" applyBorder="1" applyAlignment="1">
      <alignment vertical="center"/>
    </xf>
    <xf numFmtId="0" fontId="34" fillId="0" borderId="6" xfId="0" applyFont="1" applyBorder="1" applyAlignment="1">
      <alignment vertical="top" wrapText="1"/>
    </xf>
    <xf numFmtId="0" fontId="1" fillId="0" borderId="6" xfId="0" applyFont="1" applyBorder="1" applyAlignment="1">
      <alignment vertical="top" wrapText="1"/>
    </xf>
    <xf numFmtId="0" fontId="1" fillId="0" borderId="6" xfId="0" applyFont="1" applyBorder="1"/>
    <xf numFmtId="0" fontId="37" fillId="0" borderId="6" xfId="0" applyFont="1" applyBorder="1"/>
    <xf numFmtId="1" fontId="54" fillId="0" borderId="6" xfId="0" applyNumberFormat="1" applyFont="1" applyBorder="1"/>
    <xf numFmtId="0" fontId="53" fillId="0" borderId="3" xfId="0" applyFont="1" applyBorder="1" applyAlignment="1">
      <alignment vertical="center" wrapText="1"/>
    </xf>
    <xf numFmtId="171" fontId="54" fillId="0" borderId="3" xfId="0" applyNumberFormat="1" applyFont="1" applyBorder="1" applyAlignment="1">
      <alignment vertical="center"/>
    </xf>
    <xf numFmtId="171" fontId="1" fillId="0" borderId="3" xfId="0" applyNumberFormat="1" applyFont="1" applyBorder="1" applyAlignment="1">
      <alignment vertical="center"/>
    </xf>
    <xf numFmtId="166" fontId="55" fillId="5" borderId="6" xfId="0" applyNumberFormat="1" applyFont="1" applyFill="1" applyBorder="1"/>
    <xf numFmtId="9" fontId="1" fillId="0" borderId="6" xfId="0" applyNumberFormat="1" applyFont="1" applyBorder="1"/>
    <xf numFmtId="3" fontId="1" fillId="0" borderId="3" xfId="0" applyNumberFormat="1" applyFont="1" applyBorder="1" applyAlignment="1">
      <alignment vertical="center"/>
    </xf>
    <xf numFmtId="1" fontId="53" fillId="0" borderId="3" xfId="0" applyNumberFormat="1" applyFont="1" applyBorder="1" applyAlignment="1">
      <alignment vertical="center"/>
    </xf>
    <xf numFmtId="3" fontId="37" fillId="0" borderId="0" xfId="0" applyNumberFormat="1" applyFont="1"/>
    <xf numFmtId="9" fontId="38" fillId="0" borderId="0" xfId="0" applyNumberFormat="1" applyFont="1"/>
    <xf numFmtId="166" fontId="38" fillId="0" borderId="0" xfId="0" applyNumberFormat="1" applyFont="1"/>
    <xf numFmtId="176" fontId="38" fillId="0" borderId="0" xfId="0" applyNumberFormat="1" applyFont="1"/>
    <xf numFmtId="177" fontId="38" fillId="0" borderId="0" xfId="0" applyNumberFormat="1" applyFont="1"/>
    <xf numFmtId="178" fontId="38" fillId="0" borderId="0" xfId="0" applyNumberFormat="1" applyFont="1"/>
    <xf numFmtId="173" fontId="38" fillId="0" borderId="0" xfId="0" applyNumberFormat="1" applyFont="1"/>
    <xf numFmtId="179" fontId="38" fillId="0" borderId="0" xfId="0" applyNumberFormat="1" applyFont="1"/>
    <xf numFmtId="0" fontId="47" fillId="0" borderId="0" xfId="0" applyFont="1" applyAlignment="1">
      <alignment horizontal="center" vertical="top" wrapText="1"/>
    </xf>
    <xf numFmtId="0" fontId="1" fillId="0" borderId="0" xfId="0" applyFont="1" applyAlignment="1">
      <alignment vertical="center" wrapText="1"/>
    </xf>
    <xf numFmtId="3" fontId="1" fillId="0" borderId="0" xfId="0" applyNumberFormat="1" applyFont="1" applyAlignment="1">
      <alignment vertical="center"/>
    </xf>
    <xf numFmtId="165" fontId="1" fillId="0" borderId="0" xfId="0" applyNumberFormat="1" applyFont="1" applyAlignment="1">
      <alignment vertical="center"/>
    </xf>
    <xf numFmtId="173" fontId="53" fillId="0" borderId="0" xfId="0" applyNumberFormat="1" applyFont="1" applyAlignment="1">
      <alignment vertical="center"/>
    </xf>
    <xf numFmtId="0" fontId="1" fillId="0" borderId="0" xfId="0" applyFont="1" applyAlignment="1">
      <alignment vertical="center"/>
    </xf>
    <xf numFmtId="0" fontId="53" fillId="0" borderId="0" xfId="0" applyFont="1" applyAlignment="1">
      <alignment vertical="center"/>
    </xf>
    <xf numFmtId="3" fontId="47" fillId="0" borderId="0" xfId="0" applyNumberFormat="1" applyFont="1" applyAlignment="1">
      <alignment horizontal="center" vertical="center" wrapText="1"/>
    </xf>
    <xf numFmtId="0" fontId="47" fillId="0" borderId="0" xfId="0" applyFont="1" applyAlignment="1">
      <alignment horizontal="center" vertical="center" wrapText="1"/>
    </xf>
    <xf numFmtId="174" fontId="1" fillId="0" borderId="0" xfId="0" applyNumberFormat="1" applyFont="1" applyAlignment="1">
      <alignment vertical="center"/>
    </xf>
    <xf numFmtId="174" fontId="47" fillId="0" borderId="0" xfId="0" applyNumberFormat="1" applyFont="1" applyAlignment="1">
      <alignment horizontal="center" vertical="center" wrapText="1"/>
    </xf>
    <xf numFmtId="0" fontId="1" fillId="0" borderId="0" xfId="0" applyFont="1"/>
    <xf numFmtId="166" fontId="1" fillId="0" borderId="0" xfId="0" applyNumberFormat="1" applyFont="1"/>
    <xf numFmtId="169" fontId="54" fillId="0" borderId="0" xfId="0" applyNumberFormat="1" applyFont="1"/>
    <xf numFmtId="0" fontId="47" fillId="0" borderId="0" xfId="0" applyFont="1"/>
    <xf numFmtId="171" fontId="1" fillId="0" borderId="0" xfId="0" applyNumberFormat="1" applyFont="1"/>
    <xf numFmtId="166" fontId="54" fillId="0" borderId="0" xfId="0" applyNumberFormat="1" applyFont="1"/>
    <xf numFmtId="3" fontId="54" fillId="0" borderId="0" xfId="0" applyNumberFormat="1" applyFont="1"/>
    <xf numFmtId="169" fontId="1" fillId="0" borderId="0" xfId="0" applyNumberFormat="1" applyFont="1"/>
    <xf numFmtId="179" fontId="1" fillId="0" borderId="0" xfId="0" applyNumberFormat="1" applyFont="1"/>
    <xf numFmtId="177" fontId="1" fillId="0" borderId="0" xfId="0" applyNumberFormat="1" applyFont="1"/>
    <xf numFmtId="173" fontId="1" fillId="0" borderId="0" xfId="0" applyNumberFormat="1" applyFont="1"/>
    <xf numFmtId="0" fontId="47" fillId="3" borderId="10" xfId="0" applyFont="1" applyFill="1" applyBorder="1"/>
    <xf numFmtId="0" fontId="37" fillId="0" borderId="0" xfId="0" applyFont="1" applyAlignment="1">
      <alignment wrapText="1"/>
    </xf>
    <xf numFmtId="169" fontId="1" fillId="0" borderId="0" xfId="0" applyNumberFormat="1" applyFont="1" applyAlignment="1">
      <alignment vertical="center"/>
    </xf>
    <xf numFmtId="179" fontId="1" fillId="0" borderId="0" xfId="0" applyNumberFormat="1" applyFont="1" applyAlignment="1">
      <alignment vertical="center"/>
    </xf>
    <xf numFmtId="166" fontId="1" fillId="0" borderId="0" xfId="0" applyNumberFormat="1" applyFont="1" applyAlignment="1">
      <alignment vertical="center"/>
    </xf>
    <xf numFmtId="169" fontId="42" fillId="0" borderId="0" xfId="0" applyNumberFormat="1" applyFont="1"/>
    <xf numFmtId="180" fontId="38" fillId="0" borderId="0" xfId="0" applyNumberFormat="1" applyFont="1"/>
    <xf numFmtId="3" fontId="50" fillId="2" borderId="0" xfId="0" applyNumberFormat="1" applyFont="1" applyFill="1"/>
    <xf numFmtId="3" fontId="1" fillId="0" borderId="0" xfId="0" applyNumberFormat="1" applyFont="1"/>
    <xf numFmtId="178" fontId="1" fillId="0" borderId="0" xfId="0" applyNumberFormat="1" applyFont="1"/>
    <xf numFmtId="173" fontId="37" fillId="0" borderId="0" xfId="0" applyNumberFormat="1" applyFont="1"/>
    <xf numFmtId="9" fontId="1" fillId="0" borderId="0" xfId="0" applyNumberFormat="1" applyFont="1"/>
    <xf numFmtId="3" fontId="55" fillId="5" borderId="0" xfId="0" applyNumberFormat="1" applyFont="1" applyFill="1"/>
    <xf numFmtId="9" fontId="53" fillId="0" borderId="0" xfId="0" applyNumberFormat="1" applyFont="1"/>
    <xf numFmtId="180" fontId="1" fillId="0" borderId="0" xfId="0" applyNumberFormat="1" applyFont="1"/>
    <xf numFmtId="0" fontId="16" fillId="0" borderId="0" xfId="0" applyFont="1" applyAlignment="1">
      <alignment vertical="center" wrapText="1"/>
    </xf>
    <xf numFmtId="0" fontId="38" fillId="0" borderId="0" xfId="0" applyFont="1" applyAlignment="1">
      <alignment vertical="center" wrapText="1"/>
    </xf>
    <xf numFmtId="0" fontId="38" fillId="0" borderId="0" xfId="0" applyFont="1" applyAlignment="1">
      <alignment vertical="center"/>
    </xf>
    <xf numFmtId="181" fontId="38" fillId="0" borderId="0" xfId="0" applyNumberFormat="1" applyFont="1" applyAlignment="1">
      <alignment vertical="center"/>
    </xf>
    <xf numFmtId="165" fontId="48" fillId="0" borderId="3" xfId="0" applyNumberFormat="1" applyFont="1" applyBorder="1" applyAlignment="1">
      <alignment vertical="center"/>
    </xf>
    <xf numFmtId="1" fontId="38" fillId="0" borderId="13" xfId="1" applyNumberFormat="1" applyFont="1" applyBorder="1" applyAlignment="1">
      <alignment vertical="top" wrapText="1"/>
    </xf>
    <xf numFmtId="1" fontId="55" fillId="5" borderId="6" xfId="0" applyNumberFormat="1" applyFont="1" applyFill="1" applyBorder="1"/>
    <xf numFmtId="167" fontId="55" fillId="5" borderId="6" xfId="0" applyNumberFormat="1" applyFont="1" applyFill="1" applyBorder="1"/>
    <xf numFmtId="9" fontId="54" fillId="0" borderId="6" xfId="2" applyFont="1" applyBorder="1"/>
    <xf numFmtId="0" fontId="37" fillId="0" borderId="0" xfId="0" applyFont="1" applyAlignment="1">
      <alignment horizontal="left"/>
    </xf>
    <xf numFmtId="167" fontId="54" fillId="0" borderId="0" xfId="0" applyNumberFormat="1" applyFont="1"/>
    <xf numFmtId="176" fontId="54" fillId="0" borderId="0" xfId="0" applyNumberFormat="1" applyFont="1"/>
    <xf numFmtId="176" fontId="55" fillId="5" borderId="6" xfId="0" applyNumberFormat="1" applyFont="1" applyFill="1" applyBorder="1"/>
    <xf numFmtId="2" fontId="54" fillId="0" borderId="0" xfId="0" applyNumberFormat="1" applyFont="1"/>
    <xf numFmtId="0" fontId="36" fillId="11" borderId="1" xfId="0" applyFont="1" applyFill="1" applyBorder="1" applyAlignment="1">
      <alignment vertical="top" wrapText="1"/>
    </xf>
    <xf numFmtId="0" fontId="33" fillId="0" borderId="0" xfId="0" applyFont="1" applyAlignment="1">
      <alignment horizontal="left" vertical="top" wrapText="1"/>
    </xf>
    <xf numFmtId="0" fontId="39" fillId="2" borderId="0" xfId="0" applyFont="1" applyFill="1" applyAlignment="1">
      <alignment horizontal="left" vertical="center"/>
    </xf>
    <xf numFmtId="0" fontId="38" fillId="0" borderId="0" xfId="0" applyFont="1" applyAlignment="1">
      <alignment horizontal="left" vertical="top" wrapText="1"/>
    </xf>
    <xf numFmtId="0" fontId="41" fillId="3" borderId="0" xfId="0" applyFont="1" applyFill="1" applyAlignment="1">
      <alignment horizontal="left" vertical="center"/>
    </xf>
    <xf numFmtId="0" fontId="35" fillId="4" borderId="0" xfId="0" applyFont="1" applyFill="1" applyAlignment="1">
      <alignment horizontal="left" vertical="top" wrapText="1"/>
    </xf>
    <xf numFmtId="0" fontId="1" fillId="0" borderId="0" xfId="0" applyFont="1" applyAlignment="1">
      <alignment vertical="top" wrapText="1"/>
    </xf>
    <xf numFmtId="0" fontId="40" fillId="2" borderId="0" xfId="0" applyFont="1" applyFill="1" applyAlignment="1">
      <alignment vertical="center"/>
    </xf>
    <xf numFmtId="0" fontId="40" fillId="2" borderId="4" xfId="0" applyFont="1" applyFill="1" applyBorder="1" applyAlignment="1">
      <alignment vertical="center"/>
    </xf>
    <xf numFmtId="0" fontId="3" fillId="0" borderId="0" xfId="0" applyFont="1"/>
    <xf numFmtId="0" fontId="11" fillId="0" borderId="3" xfId="0" applyFont="1" applyBorder="1" applyAlignment="1">
      <alignment vertical="center" wrapText="1"/>
    </xf>
    <xf numFmtId="0" fontId="4" fillId="2" borderId="0" xfId="0" applyFont="1" applyFill="1"/>
    <xf numFmtId="0" fontId="4" fillId="2" borderId="0" xfId="0" applyFont="1" applyFill="1" applyAlignment="1">
      <alignment horizontal="left" vertical="center"/>
    </xf>
    <xf numFmtId="0" fontId="0" fillId="0" borderId="0" xfId="0"/>
    <xf numFmtId="0" fontId="4" fillId="2" borderId="0" xfId="0" applyFont="1" applyFill="1" applyAlignment="1">
      <alignment vertical="center"/>
    </xf>
    <xf numFmtId="0" fontId="11" fillId="0" borderId="0" xfId="0" applyFont="1" applyAlignment="1">
      <alignment horizontal="left" vertical="center" wrapText="1"/>
    </xf>
    <xf numFmtId="169" fontId="11" fillId="0" borderId="3" xfId="0" applyNumberFormat="1" applyFont="1" applyBorder="1" applyAlignment="1">
      <alignment vertical="center" wrapText="1"/>
    </xf>
    <xf numFmtId="0" fontId="13" fillId="0" borderId="0" xfId="0" applyFont="1" applyAlignment="1">
      <alignment vertical="top" wrapText="1"/>
    </xf>
    <xf numFmtId="0" fontId="17" fillId="0" borderId="0" xfId="0" applyFont="1" applyAlignment="1">
      <alignment vertical="top" wrapText="1"/>
    </xf>
    <xf numFmtId="0" fontId="34" fillId="0" borderId="0" xfId="0" applyFont="1" applyAlignment="1">
      <alignment vertical="top" wrapText="1"/>
    </xf>
    <xf numFmtId="0" fontId="34" fillId="0" borderId="5" xfId="0" applyFont="1" applyBorder="1" applyAlignment="1">
      <alignment vertical="center" wrapText="1"/>
    </xf>
    <xf numFmtId="0" fontId="40" fillId="2" borderId="0" xfId="0" applyFont="1" applyFill="1" applyAlignment="1">
      <alignment horizontal="left" vertical="center"/>
    </xf>
    <xf numFmtId="0" fontId="37" fillId="0" borderId="0" xfId="0" applyFont="1"/>
    <xf numFmtId="0" fontId="2" fillId="0" borderId="1" xfId="0" applyFont="1" applyBorder="1" applyAlignment="1">
      <alignment vertical="top" wrapText="1"/>
    </xf>
    <xf numFmtId="0" fontId="23" fillId="0" borderId="0" xfId="0" applyFont="1" applyAlignment="1">
      <alignment vertical="top" wrapText="1"/>
    </xf>
    <xf numFmtId="0" fontId="11" fillId="0" borderId="4" xfId="0" applyFont="1" applyBorder="1" applyAlignment="1">
      <alignment horizontal="left" vertical="center" wrapText="1"/>
    </xf>
    <xf numFmtId="0" fontId="12" fillId="2" borderId="3" xfId="0" applyFont="1" applyFill="1" applyBorder="1" applyAlignment="1">
      <alignment vertical="center"/>
    </xf>
    <xf numFmtId="0" fontId="11" fillId="0" borderId="5" xfId="0" applyFont="1" applyBorder="1" applyAlignment="1">
      <alignment horizontal="left" vertical="center" wrapText="1"/>
    </xf>
    <xf numFmtId="0" fontId="11" fillId="0" borderId="4" xfId="0" applyFont="1" applyBorder="1" applyAlignment="1">
      <alignment vertical="center" wrapText="1"/>
    </xf>
    <xf numFmtId="0" fontId="11" fillId="0" borderId="6" xfId="0" applyFont="1" applyBorder="1" applyAlignment="1">
      <alignment vertical="top" wrapText="1"/>
    </xf>
    <xf numFmtId="0" fontId="27" fillId="0" borderId="0" xfId="0" applyFont="1" applyAlignment="1">
      <alignment vertical="top" wrapText="1"/>
    </xf>
    <xf numFmtId="0" fontId="7" fillId="0" borderId="0" xfId="0" applyFont="1" applyAlignment="1">
      <alignment vertical="top" wrapText="1"/>
    </xf>
    <xf numFmtId="0" fontId="28" fillId="0" borderId="0" xfId="0" applyFont="1"/>
    <xf numFmtId="0" fontId="11" fillId="0" borderId="7" xfId="0" applyFont="1" applyBorder="1" applyAlignment="1">
      <alignment vertical="top" wrapText="1"/>
    </xf>
    <xf numFmtId="0" fontId="11" fillId="0" borderId="8" xfId="0" applyFont="1" applyBorder="1" applyAlignment="1">
      <alignment vertical="center" wrapText="1"/>
    </xf>
    <xf numFmtId="0" fontId="4" fillId="2" borderId="9" xfId="0" applyFont="1" applyFill="1" applyBorder="1" applyAlignment="1">
      <alignment vertical="top" wrapText="1"/>
    </xf>
    <xf numFmtId="0" fontId="11" fillId="0" borderId="11" xfId="0" applyFont="1" applyBorder="1" applyAlignment="1">
      <alignment vertical="top" wrapText="1"/>
    </xf>
    <xf numFmtId="0" fontId="13" fillId="0" borderId="11" xfId="0" applyFont="1" applyBorder="1" applyAlignment="1">
      <alignment vertical="top" wrapText="1"/>
    </xf>
    <xf numFmtId="0" fontId="13" fillId="0" borderId="10" xfId="0" applyFont="1" applyBorder="1" applyAlignment="1">
      <alignment vertical="top" wrapText="1"/>
    </xf>
    <xf numFmtId="0" fontId="11" fillId="0" borderId="0" xfId="0" applyFont="1" applyAlignment="1">
      <alignment vertical="top" wrapText="1"/>
    </xf>
    <xf numFmtId="0" fontId="51" fillId="0" borderId="12" xfId="0" applyFont="1" applyBorder="1" applyAlignment="1">
      <alignment horizontal="left" vertical="center" wrapText="1"/>
    </xf>
    <xf numFmtId="0" fontId="2" fillId="0" borderId="1" xfId="0" applyFont="1" applyBorder="1" applyAlignment="1">
      <alignment horizontal="left" vertical="top" wrapText="1"/>
    </xf>
    <xf numFmtId="0" fontId="11" fillId="0" borderId="10" xfId="0" applyFont="1" applyBorder="1" applyAlignment="1">
      <alignment vertical="top" wrapText="1"/>
    </xf>
    <xf numFmtId="0" fontId="34" fillId="0" borderId="6" xfId="0" applyFont="1" applyBorder="1" applyAlignment="1">
      <alignment vertical="top" wrapText="1"/>
    </xf>
    <xf numFmtId="0" fontId="36" fillId="0" borderId="1" xfId="0" applyFont="1" applyBorder="1" applyAlignment="1">
      <alignment vertical="top" wrapText="1"/>
    </xf>
    <xf numFmtId="0" fontId="34" fillId="0" borderId="3" xfId="0" applyFont="1" applyBorder="1" applyAlignment="1">
      <alignment vertical="top" wrapText="1"/>
    </xf>
    <xf numFmtId="0" fontId="37" fillId="0" borderId="6" xfId="0" applyFont="1" applyBorder="1" applyAlignment="1">
      <alignment horizontal="left"/>
    </xf>
    <xf numFmtId="0" fontId="39" fillId="2" borderId="0" xfId="0" applyFont="1" applyFill="1"/>
    <xf numFmtId="0" fontId="50" fillId="2" borderId="0" xfId="0" applyFont="1" applyFill="1" applyAlignment="1">
      <alignment vertical="center"/>
    </xf>
    <xf numFmtId="0" fontId="50" fillId="2" borderId="0" xfId="0" applyFont="1" applyFill="1"/>
    <xf numFmtId="0" fontId="34" fillId="0" borderId="0" xfId="0" applyFont="1" applyAlignment="1">
      <alignment vertical="center" wrapText="1"/>
    </xf>
    <xf numFmtId="3" fontId="34" fillId="0" borderId="0" xfId="0" applyNumberFormat="1" applyFont="1" applyAlignment="1">
      <alignment vertical="top" wrapText="1"/>
    </xf>
    <xf numFmtId="0" fontId="36" fillId="0" borderId="0" xfId="0" applyFont="1" applyAlignment="1">
      <alignment horizontal="center" vertical="top" wrapText="1"/>
    </xf>
  </cellXfs>
  <cellStyles count="3">
    <cellStyle name="Currency" xfId="1" builtinId="4"/>
    <cellStyle name="Normal" xfId="0" builtinId="0"/>
    <cellStyle name="Percent"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BFBFBF"/>
      <rgbColor rgb="FF878787"/>
      <rgbColor rgb="FFB0B0B0"/>
      <rgbColor rgb="FFC0504D"/>
      <rgbColor rgb="FFF2F2F2"/>
      <rgbColor rgb="FFDDEBF7"/>
      <rgbColor rgb="FF660066"/>
      <rgbColor rgb="FFE06666"/>
      <rgbColor rgb="FF0066CC"/>
      <rgbColor rgb="FFD0CECE"/>
      <rgbColor rgb="FF000080"/>
      <rgbColor rgb="FFFF00FF"/>
      <rgbColor rgb="FFFFFF00"/>
      <rgbColor rgb="FF00FFFF"/>
      <rgbColor rgb="FF800080"/>
      <rgbColor rgb="FF800000"/>
      <rgbColor rgb="FF008080"/>
      <rgbColor rgb="FF0000FF"/>
      <rgbColor rgb="FF00CCFF"/>
      <rgbColor rgb="FFE3F0E5"/>
      <rgbColor rgb="FFD9EAD3"/>
      <rgbColor rgb="FFFFEB9C"/>
      <rgbColor rgb="FFCBE4F7"/>
      <rgbColor rgb="FFFFC7CE"/>
      <rgbColor rgb="FFD9D9D9"/>
      <rgbColor rgb="FFF4CCCC"/>
      <rgbColor rgb="FF3366FF"/>
      <rgbColor rgb="FF93C47D"/>
      <rgbColor rgb="FF9BBB59"/>
      <rgbColor rgb="FFFFCC00"/>
      <rgbColor rgb="FFFF9900"/>
      <rgbColor rgb="FFFF6600"/>
      <rgbColor rgb="FF4A6670"/>
      <rgbColor rgb="FF999999"/>
      <rgbColor rgb="FF003366"/>
      <rgbColor rgb="FF339966"/>
      <rgbColor rgb="FF003300"/>
      <rgbColor rgb="FF333300"/>
      <rgbColor rgb="FF9C5700"/>
      <rgbColor rgb="FF993366"/>
      <rgbColor rgb="FF333399"/>
      <rgbColor rgb="FF595959"/>
      <rgbColor rgb="00003366"/>
      <rgbColor rgb="00339966"/>
      <rgbColor rgb="00003300"/>
      <rgbColor rgb="00333300"/>
      <rgbColor rgb="00993300"/>
      <rgbColor rgb="00993366"/>
      <rgbColor rgb="00333399"/>
      <rgbColor rgb="00333333"/>
    </indexedColors>
    <mruColors>
      <color rgb="FF8E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Tornado Diagram — Levelized Cost per Tonne ($)</a:t>
            </a:r>
          </a:p>
        </c:rich>
      </c:tx>
      <c:overlay val="0"/>
      <c:spPr>
        <a:noFill/>
        <a:ln w="0">
          <a:noFill/>
        </a:ln>
      </c:spPr>
    </c:title>
    <c:autoTitleDeleted val="0"/>
    <c:plotArea>
      <c:layout>
        <c:manualLayout>
          <c:xMode val="edge"/>
          <c:yMode val="edge"/>
          <c:x val="0.13525314481754899"/>
          <c:y val="0.18569328760411599"/>
          <c:w val="0.84239525938247195"/>
          <c:h val="0.61332680058794697"/>
        </c:manualLayout>
      </c:layout>
      <c:barChart>
        <c:barDir val="bar"/>
        <c:grouping val="stacked"/>
        <c:varyColors val="0"/>
        <c:ser>
          <c:idx val="0"/>
          <c:order val="0"/>
          <c:tx>
            <c:v>spacer (hidden)</c:v>
          </c:tx>
          <c:spPr>
            <a:solidFill>
              <a:srgbClr val="FFFFFF"/>
            </a:solidFill>
            <a:ln w="936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'3a. Outputs - Dedicated Vessel'!$A$64:$A$74</c:f>
              <c:strCache>
                <c:ptCount val="11"/>
                <c:pt idx="0">
                  <c:v>Compressor $/kW</c:v>
                </c:pt>
                <c:pt idx="1">
                  <c:v>Energy price</c:v>
                </c:pt>
                <c:pt idx="2">
                  <c:v>Discount rate</c:v>
                </c:pt>
                <c:pt idx="3">
                  <c:v>Maintenance %</c:v>
                </c:pt>
                <c:pt idx="4">
                  <c:v>Vessel cost</c:v>
                </c:pt>
                <c:pt idx="5">
                  <c:v>Nozzle unit cost</c:v>
                </c:pt>
                <c:pt idx="6">
                  <c:v>Annual utilization</c:v>
                </c:pt>
                <c:pt idx="7">
                  <c:v>Crew cost</c:v>
                </c:pt>
                <c:pt idx="8">
                  <c:v>Vessel fuel/yr</c:v>
                </c:pt>
                <c:pt idx="9">
                  <c:v>Particle output rate</c:v>
                </c:pt>
                <c:pt idx="10">
                  <c:v>Power per unit</c:v>
                </c:pt>
              </c:strCache>
            </c:strRef>
          </c:cat>
          <c:val>
            <c:numRef>
              <c:f>'3a. Outputs - Dedicated Vessel'!$B$64:$B$74</c:f>
              <c:numCache>
                <c:formatCode>\$#,##0</c:formatCode>
                <c:ptCount val="11"/>
                <c:pt idx="0">
                  <c:v>50945.957386104114</c:v>
                </c:pt>
                <c:pt idx="1">
                  <c:v>49597.857301804062</c:v>
                </c:pt>
                <c:pt idx="2">
                  <c:v>47995.715521202284</c:v>
                </c:pt>
                <c:pt idx="3">
                  <c:v>46802.594123635565</c:v>
                </c:pt>
                <c:pt idx="4">
                  <c:v>41019.758037564039</c:v>
                </c:pt>
                <c:pt idx="5">
                  <c:v>52566.501332417713</c:v>
                </c:pt>
                <c:pt idx="6">
                  <c:v>51743.426965829742</c:v>
                </c:pt>
                <c:pt idx="7">
                  <c:v>52555.74888699063</c:v>
                </c:pt>
                <c:pt idx="8">
                  <c:v>50836.482526430038</c:v>
                </c:pt>
                <c:pt idx="9">
                  <c:v>51204.219436820589</c:v>
                </c:pt>
                <c:pt idx="10">
                  <c:v>39890.59199810314</c:v>
                </c:pt>
              </c:numCache>
            </c:numRef>
          </c:val>
          <c:extLst>
            <c:ext xmlns:c16="http://schemas.microsoft.com/office/drawing/2014/chart" uri="{C3380CC4-5D6E-409C-BE32-E72D297353CC}">
              <c16:uniqueId val="{00000000-DF68-CE4D-B40F-419185BE7306}"/>
            </c:ext>
          </c:extLst>
        </c:ser>
        <c:ser>
          <c:idx val="1"/>
          <c:order val="1"/>
          <c:tx>
            <c:v>cost-reducing span</c:v>
          </c:tx>
          <c:spPr>
            <a:solidFill>
              <a:srgbClr val="93C47D"/>
            </a:solidFill>
            <a:ln w="0">
              <a:noFill/>
            </a:ln>
          </c:spPr>
          <c:invertIfNegative val="0"/>
          <c:dPt>
            <c:idx val="0"/>
            <c:invertIfNegative val="0"/>
            <c:bubble3D val="0"/>
            <c:spPr>
              <a:solidFill>
                <a:srgbClr val="C0504D"/>
              </a:solidFill>
              <a:ln w="0">
                <a:noFill/>
              </a:ln>
            </c:spPr>
            <c:extLst>
              <c:ext xmlns:c16="http://schemas.microsoft.com/office/drawing/2014/chart" uri="{C3380CC4-5D6E-409C-BE32-E72D297353CC}">
                <c16:uniqueId val="{00000002-DF68-CE4D-B40F-419185BE7306}"/>
              </c:ext>
            </c:extLst>
          </c:dPt>
          <c:dPt>
            <c:idx val="1"/>
            <c:invertIfNegative val="0"/>
            <c:bubble3D val="0"/>
            <c:spPr>
              <a:solidFill>
                <a:srgbClr val="C0504D"/>
              </a:solidFill>
              <a:ln w="0">
                <a:noFill/>
              </a:ln>
            </c:spPr>
            <c:extLst>
              <c:ext xmlns:c16="http://schemas.microsoft.com/office/drawing/2014/chart" uri="{C3380CC4-5D6E-409C-BE32-E72D297353CC}">
                <c16:uniqueId val="{00000004-DF68-CE4D-B40F-419185BE7306}"/>
              </c:ext>
            </c:extLst>
          </c:dPt>
          <c:dPt>
            <c:idx val="2"/>
            <c:invertIfNegative val="0"/>
            <c:bubble3D val="0"/>
            <c:spPr>
              <a:solidFill>
                <a:srgbClr val="C0504D"/>
              </a:solidFill>
              <a:ln w="0">
                <a:noFill/>
              </a:ln>
            </c:spPr>
            <c:extLst>
              <c:ext xmlns:c16="http://schemas.microsoft.com/office/drawing/2014/chart" uri="{C3380CC4-5D6E-409C-BE32-E72D297353CC}">
                <c16:uniqueId val="{00000006-DF68-CE4D-B40F-419185BE7306}"/>
              </c:ext>
            </c:extLst>
          </c:dPt>
          <c:dPt>
            <c:idx val="3"/>
            <c:invertIfNegative val="0"/>
            <c:bubble3D val="0"/>
            <c:spPr>
              <a:solidFill>
                <a:srgbClr val="C0504D"/>
              </a:solidFill>
              <a:ln w="0">
                <a:noFill/>
              </a:ln>
            </c:spPr>
            <c:extLst>
              <c:ext xmlns:c16="http://schemas.microsoft.com/office/drawing/2014/chart" uri="{C3380CC4-5D6E-409C-BE32-E72D297353CC}">
                <c16:uniqueId val="{00000008-DF68-CE4D-B40F-419185BE7306}"/>
              </c:ext>
            </c:extLst>
          </c:dPt>
          <c:dPt>
            <c:idx val="4"/>
            <c:invertIfNegative val="0"/>
            <c:bubble3D val="0"/>
            <c:spPr>
              <a:solidFill>
                <a:srgbClr val="C0504D"/>
              </a:solidFill>
              <a:ln w="0">
                <a:noFill/>
              </a:ln>
            </c:spPr>
            <c:extLst>
              <c:ext xmlns:c16="http://schemas.microsoft.com/office/drawing/2014/chart" uri="{C3380CC4-5D6E-409C-BE32-E72D297353CC}">
                <c16:uniqueId val="{0000000A-DF68-CE4D-B40F-419185BE7306}"/>
              </c:ext>
            </c:extLst>
          </c:dPt>
          <c:dPt>
            <c:idx val="5"/>
            <c:invertIfNegative val="0"/>
            <c:bubble3D val="0"/>
            <c:spPr>
              <a:solidFill>
                <a:srgbClr val="C0504D"/>
              </a:solidFill>
              <a:ln w="0">
                <a:noFill/>
              </a:ln>
            </c:spPr>
            <c:extLst>
              <c:ext xmlns:c16="http://schemas.microsoft.com/office/drawing/2014/chart" uri="{C3380CC4-5D6E-409C-BE32-E72D297353CC}">
                <c16:uniqueId val="{0000000C-DF68-CE4D-B40F-419185BE7306}"/>
              </c:ext>
            </c:extLst>
          </c:dPt>
          <c:dPt>
            <c:idx val="6"/>
            <c:invertIfNegative val="0"/>
            <c:bubble3D val="0"/>
            <c:spPr>
              <a:solidFill>
                <a:srgbClr val="C0504D"/>
              </a:solidFill>
              <a:ln w="0">
                <a:noFill/>
              </a:ln>
            </c:spPr>
            <c:extLst>
              <c:ext xmlns:c16="http://schemas.microsoft.com/office/drawing/2014/chart" uri="{C3380CC4-5D6E-409C-BE32-E72D297353CC}">
                <c16:uniqueId val="{0000000E-DF68-CE4D-B40F-419185BE7306}"/>
              </c:ext>
            </c:extLst>
          </c:dPt>
          <c:dPt>
            <c:idx val="7"/>
            <c:invertIfNegative val="0"/>
            <c:bubble3D val="0"/>
            <c:spPr>
              <a:solidFill>
                <a:srgbClr val="C0504D"/>
              </a:solidFill>
              <a:ln w="0">
                <a:noFill/>
              </a:ln>
            </c:spPr>
            <c:extLst>
              <c:ext xmlns:c16="http://schemas.microsoft.com/office/drawing/2014/chart" uri="{C3380CC4-5D6E-409C-BE32-E72D297353CC}">
                <c16:uniqueId val="{00000010-DF68-CE4D-B40F-419185BE7306}"/>
              </c:ext>
            </c:extLst>
          </c:dPt>
          <c:dPt>
            <c:idx val="8"/>
            <c:invertIfNegative val="0"/>
            <c:bubble3D val="0"/>
            <c:spPr>
              <a:solidFill>
                <a:srgbClr val="C0504D"/>
              </a:solidFill>
              <a:ln w="0">
                <a:noFill/>
              </a:ln>
            </c:spPr>
            <c:extLst>
              <c:ext xmlns:c16="http://schemas.microsoft.com/office/drawing/2014/chart" uri="{C3380CC4-5D6E-409C-BE32-E72D297353CC}">
                <c16:uniqueId val="{00000012-DF68-CE4D-B40F-419185BE7306}"/>
              </c:ext>
            </c:extLst>
          </c:dPt>
          <c:dPt>
            <c:idx val="9"/>
            <c:invertIfNegative val="0"/>
            <c:bubble3D val="0"/>
            <c:spPr>
              <a:solidFill>
                <a:srgbClr val="C0504D"/>
              </a:solidFill>
              <a:ln w="0">
                <a:noFill/>
              </a:ln>
            </c:spPr>
            <c:extLst>
              <c:ext xmlns:c16="http://schemas.microsoft.com/office/drawing/2014/chart" uri="{C3380CC4-5D6E-409C-BE32-E72D297353CC}">
                <c16:uniqueId val="{00000014-DF68-CE4D-B40F-419185BE7306}"/>
              </c:ext>
            </c:extLst>
          </c:dPt>
          <c:dPt>
            <c:idx val="10"/>
            <c:invertIfNegative val="0"/>
            <c:bubble3D val="0"/>
            <c:spPr>
              <a:solidFill>
                <a:srgbClr val="C0504D"/>
              </a:solidFill>
              <a:ln w="0">
                <a:noFill/>
              </a:ln>
            </c:spPr>
            <c:extLst>
              <c:ext xmlns:c16="http://schemas.microsoft.com/office/drawing/2014/chart" uri="{C3380CC4-5D6E-409C-BE32-E72D297353CC}">
                <c16:uniqueId val="{00000016-DF68-CE4D-B40F-419185BE7306}"/>
              </c:ext>
            </c:extLst>
          </c:dPt>
          <c:dLbls>
            <c:dLbl>
              <c:idx val="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DF68-CE4D-B40F-419185BE7306}"/>
                </c:ext>
              </c:extLst>
            </c:dLbl>
            <c:dLbl>
              <c:idx val="1"/>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DF68-CE4D-B40F-419185BE7306}"/>
                </c:ext>
              </c:extLst>
            </c:dLbl>
            <c:dLbl>
              <c:idx val="2"/>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DF68-CE4D-B40F-419185BE7306}"/>
                </c:ext>
              </c:extLst>
            </c:dLbl>
            <c:dLbl>
              <c:idx val="3"/>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DF68-CE4D-B40F-419185BE7306}"/>
                </c:ext>
              </c:extLst>
            </c:dLbl>
            <c:dLbl>
              <c:idx val="4"/>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DF68-CE4D-B40F-419185BE7306}"/>
                </c:ext>
              </c:extLst>
            </c:dLbl>
            <c:dLbl>
              <c:idx val="5"/>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DF68-CE4D-B40F-419185BE7306}"/>
                </c:ext>
              </c:extLst>
            </c:dLbl>
            <c:dLbl>
              <c:idx val="6"/>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DF68-CE4D-B40F-419185BE7306}"/>
                </c:ext>
              </c:extLst>
            </c:dLbl>
            <c:dLbl>
              <c:idx val="7"/>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DF68-CE4D-B40F-419185BE7306}"/>
                </c:ext>
              </c:extLst>
            </c:dLbl>
            <c:dLbl>
              <c:idx val="8"/>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DF68-CE4D-B40F-419185BE7306}"/>
                </c:ext>
              </c:extLst>
            </c:dLbl>
            <c:dLbl>
              <c:idx val="9"/>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DF68-CE4D-B40F-419185BE7306}"/>
                </c:ext>
              </c:extLst>
            </c:dLbl>
            <c:dLbl>
              <c:idx val="1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DF68-CE4D-B40F-419185BE7306}"/>
                </c:ext>
              </c:extLst>
            </c:dLbl>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'3a. Outputs - Dedicated Vessel'!$A$64:$A$74</c:f>
              <c:strCache>
                <c:ptCount val="11"/>
                <c:pt idx="0">
                  <c:v>Compressor $/kW</c:v>
                </c:pt>
                <c:pt idx="1">
                  <c:v>Energy price</c:v>
                </c:pt>
                <c:pt idx="2">
                  <c:v>Discount rate</c:v>
                </c:pt>
                <c:pt idx="3">
                  <c:v>Maintenance %</c:v>
                </c:pt>
                <c:pt idx="4">
                  <c:v>Vessel cost</c:v>
                </c:pt>
                <c:pt idx="5">
                  <c:v>Nozzle unit cost</c:v>
                </c:pt>
                <c:pt idx="6">
                  <c:v>Annual utilization</c:v>
                </c:pt>
                <c:pt idx="7">
                  <c:v>Crew cost</c:v>
                </c:pt>
                <c:pt idx="8">
                  <c:v>Vessel fuel/yr</c:v>
                </c:pt>
                <c:pt idx="9">
                  <c:v>Particle output rate</c:v>
                </c:pt>
                <c:pt idx="10">
                  <c:v>Power per unit</c:v>
                </c:pt>
              </c:strCache>
            </c:strRef>
          </c:cat>
          <c:val>
            <c:numRef>
              <c:f>'3a. Outputs - Dedicated Vessel'!$C$64:$C$74</c:f>
              <c:numCache>
                <c:formatCode>\$#,##0</c:formatCode>
                <c:ptCount val="11"/>
                <c:pt idx="0">
                  <c:v>2292.040056664533</c:v>
                </c:pt>
                <c:pt idx="1">
                  <c:v>3640.1401409645841</c:v>
                </c:pt>
                <c:pt idx="2">
                  <c:v>5242.2819215663621</c:v>
                </c:pt>
                <c:pt idx="3">
                  <c:v>6435.4033191330818</c:v>
                </c:pt>
                <c:pt idx="4">
                  <c:v>12218.239405204607</c:v>
                </c:pt>
                <c:pt idx="5">
                  <c:v>671.49611035093403</c:v>
                </c:pt>
                <c:pt idx="6">
                  <c:v>1494.5704769389049</c:v>
                </c:pt>
                <c:pt idx="7">
                  <c:v>682.24855577801645</c:v>
                </c:pt>
                <c:pt idx="8">
                  <c:v>2401.5149163386086</c:v>
                </c:pt>
                <c:pt idx="9">
                  <c:v>2033.7780059480574</c:v>
                </c:pt>
                <c:pt idx="10">
                  <c:v>13347.405444665506</c:v>
                </c:pt>
              </c:numCache>
            </c:numRef>
          </c:val>
          <c:extLst>
            <c:ext xmlns:c16="http://schemas.microsoft.com/office/drawing/2014/chart" uri="{C3380CC4-5D6E-409C-BE32-E72D297353CC}">
              <c16:uniqueId val="{00000017-DF68-CE4D-B40F-419185BE7306}"/>
            </c:ext>
          </c:extLst>
        </c:ser>
        <c:ser>
          <c:idx val="2"/>
          <c:order val="2"/>
          <c:tx>
            <c:v>cost-raising span</c:v>
          </c:tx>
          <c:spPr>
            <a:solidFill>
              <a:srgbClr val="E06666"/>
            </a:solidFill>
            <a:ln w="0">
              <a:noFill/>
            </a:ln>
          </c:spPr>
          <c:invertIfNegative val="0"/>
          <c:dPt>
            <c:idx val="0"/>
            <c:invertIfNegative val="0"/>
            <c:bubble3D val="0"/>
            <c:spPr>
              <a:solidFill>
                <a:srgbClr val="9BBB59"/>
              </a:solidFill>
              <a:ln w="0">
                <a:noFill/>
              </a:ln>
            </c:spPr>
            <c:extLst>
              <c:ext xmlns:c16="http://schemas.microsoft.com/office/drawing/2014/chart" uri="{C3380CC4-5D6E-409C-BE32-E72D297353CC}">
                <c16:uniqueId val="{00000019-DF68-CE4D-B40F-419185BE7306}"/>
              </c:ext>
            </c:extLst>
          </c:dPt>
          <c:dPt>
            <c:idx val="1"/>
            <c:invertIfNegative val="0"/>
            <c:bubble3D val="0"/>
            <c:spPr>
              <a:solidFill>
                <a:srgbClr val="9BBB59"/>
              </a:solidFill>
              <a:ln w="0">
                <a:noFill/>
              </a:ln>
            </c:spPr>
            <c:extLst>
              <c:ext xmlns:c16="http://schemas.microsoft.com/office/drawing/2014/chart" uri="{C3380CC4-5D6E-409C-BE32-E72D297353CC}">
                <c16:uniqueId val="{0000001B-DF68-CE4D-B40F-419185BE7306}"/>
              </c:ext>
            </c:extLst>
          </c:dPt>
          <c:dPt>
            <c:idx val="2"/>
            <c:invertIfNegative val="0"/>
            <c:bubble3D val="0"/>
            <c:spPr>
              <a:solidFill>
                <a:srgbClr val="9BBB59"/>
              </a:solidFill>
              <a:ln w="0">
                <a:noFill/>
              </a:ln>
            </c:spPr>
            <c:extLst>
              <c:ext xmlns:c16="http://schemas.microsoft.com/office/drawing/2014/chart" uri="{C3380CC4-5D6E-409C-BE32-E72D297353CC}">
                <c16:uniqueId val="{0000001D-DF68-CE4D-B40F-419185BE7306}"/>
              </c:ext>
            </c:extLst>
          </c:dPt>
          <c:dPt>
            <c:idx val="3"/>
            <c:invertIfNegative val="0"/>
            <c:bubble3D val="0"/>
            <c:spPr>
              <a:solidFill>
                <a:srgbClr val="9BBB59"/>
              </a:solidFill>
              <a:ln w="0">
                <a:noFill/>
              </a:ln>
            </c:spPr>
            <c:extLst>
              <c:ext xmlns:c16="http://schemas.microsoft.com/office/drawing/2014/chart" uri="{C3380CC4-5D6E-409C-BE32-E72D297353CC}">
                <c16:uniqueId val="{0000001F-DF68-CE4D-B40F-419185BE7306}"/>
              </c:ext>
            </c:extLst>
          </c:dPt>
          <c:dPt>
            <c:idx val="4"/>
            <c:invertIfNegative val="0"/>
            <c:bubble3D val="0"/>
            <c:spPr>
              <a:solidFill>
                <a:srgbClr val="9BBB59"/>
              </a:solidFill>
              <a:ln w="0">
                <a:noFill/>
              </a:ln>
            </c:spPr>
            <c:extLst>
              <c:ext xmlns:c16="http://schemas.microsoft.com/office/drawing/2014/chart" uri="{C3380CC4-5D6E-409C-BE32-E72D297353CC}">
                <c16:uniqueId val="{00000021-DF68-CE4D-B40F-419185BE7306}"/>
              </c:ext>
            </c:extLst>
          </c:dPt>
          <c:dPt>
            <c:idx val="5"/>
            <c:invertIfNegative val="0"/>
            <c:bubble3D val="0"/>
            <c:spPr>
              <a:solidFill>
                <a:srgbClr val="9BBB59"/>
              </a:solidFill>
              <a:ln w="0">
                <a:noFill/>
              </a:ln>
            </c:spPr>
            <c:extLst>
              <c:ext xmlns:c16="http://schemas.microsoft.com/office/drawing/2014/chart" uri="{C3380CC4-5D6E-409C-BE32-E72D297353CC}">
                <c16:uniqueId val="{00000023-DF68-CE4D-B40F-419185BE7306}"/>
              </c:ext>
            </c:extLst>
          </c:dPt>
          <c:dPt>
            <c:idx val="6"/>
            <c:invertIfNegative val="0"/>
            <c:bubble3D val="0"/>
            <c:spPr>
              <a:solidFill>
                <a:srgbClr val="9BBB59"/>
              </a:solidFill>
              <a:ln w="0">
                <a:noFill/>
              </a:ln>
            </c:spPr>
            <c:extLst>
              <c:ext xmlns:c16="http://schemas.microsoft.com/office/drawing/2014/chart" uri="{C3380CC4-5D6E-409C-BE32-E72D297353CC}">
                <c16:uniqueId val="{00000025-DF68-CE4D-B40F-419185BE7306}"/>
              </c:ext>
            </c:extLst>
          </c:dPt>
          <c:dPt>
            <c:idx val="7"/>
            <c:invertIfNegative val="0"/>
            <c:bubble3D val="0"/>
            <c:spPr>
              <a:solidFill>
                <a:srgbClr val="9BBB59"/>
              </a:solidFill>
              <a:ln w="0">
                <a:noFill/>
              </a:ln>
            </c:spPr>
            <c:extLst>
              <c:ext xmlns:c16="http://schemas.microsoft.com/office/drawing/2014/chart" uri="{C3380CC4-5D6E-409C-BE32-E72D297353CC}">
                <c16:uniqueId val="{00000027-DF68-CE4D-B40F-419185BE7306}"/>
              </c:ext>
            </c:extLst>
          </c:dPt>
          <c:dPt>
            <c:idx val="8"/>
            <c:invertIfNegative val="0"/>
            <c:bubble3D val="0"/>
            <c:spPr>
              <a:solidFill>
                <a:srgbClr val="9BBB59"/>
              </a:solidFill>
              <a:ln w="0">
                <a:noFill/>
              </a:ln>
            </c:spPr>
            <c:extLst>
              <c:ext xmlns:c16="http://schemas.microsoft.com/office/drawing/2014/chart" uri="{C3380CC4-5D6E-409C-BE32-E72D297353CC}">
                <c16:uniqueId val="{00000029-DF68-CE4D-B40F-419185BE7306}"/>
              </c:ext>
            </c:extLst>
          </c:dPt>
          <c:dPt>
            <c:idx val="9"/>
            <c:invertIfNegative val="0"/>
            <c:bubble3D val="0"/>
            <c:spPr>
              <a:solidFill>
                <a:srgbClr val="9BBB59"/>
              </a:solidFill>
              <a:ln w="0">
                <a:noFill/>
              </a:ln>
            </c:spPr>
            <c:extLst>
              <c:ext xmlns:c16="http://schemas.microsoft.com/office/drawing/2014/chart" uri="{C3380CC4-5D6E-409C-BE32-E72D297353CC}">
                <c16:uniqueId val="{0000002B-DF68-CE4D-B40F-419185BE7306}"/>
              </c:ext>
            </c:extLst>
          </c:dPt>
          <c:dPt>
            <c:idx val="10"/>
            <c:invertIfNegative val="0"/>
            <c:bubble3D val="0"/>
            <c:spPr>
              <a:solidFill>
                <a:srgbClr val="9BBB59"/>
              </a:solidFill>
              <a:ln w="0">
                <a:noFill/>
              </a:ln>
            </c:spPr>
            <c:extLst>
              <c:ext xmlns:c16="http://schemas.microsoft.com/office/drawing/2014/chart" uri="{C3380CC4-5D6E-409C-BE32-E72D297353CC}">
                <c16:uniqueId val="{0000002D-DF68-CE4D-B40F-419185BE7306}"/>
              </c:ext>
            </c:extLst>
          </c:dPt>
          <c:dLbls>
            <c:dLbl>
              <c:idx val="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DF68-CE4D-B40F-419185BE7306}"/>
                </c:ext>
              </c:extLst>
            </c:dLbl>
            <c:dLbl>
              <c:idx val="1"/>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B-DF68-CE4D-B40F-419185BE7306}"/>
                </c:ext>
              </c:extLst>
            </c:dLbl>
            <c:dLbl>
              <c:idx val="2"/>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D-DF68-CE4D-B40F-419185BE7306}"/>
                </c:ext>
              </c:extLst>
            </c:dLbl>
            <c:dLbl>
              <c:idx val="3"/>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F-DF68-CE4D-B40F-419185BE7306}"/>
                </c:ext>
              </c:extLst>
            </c:dLbl>
            <c:dLbl>
              <c:idx val="4"/>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1-DF68-CE4D-B40F-419185BE7306}"/>
                </c:ext>
              </c:extLst>
            </c:dLbl>
            <c:dLbl>
              <c:idx val="5"/>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3-DF68-CE4D-B40F-419185BE7306}"/>
                </c:ext>
              </c:extLst>
            </c:dLbl>
            <c:dLbl>
              <c:idx val="6"/>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5-DF68-CE4D-B40F-419185BE7306}"/>
                </c:ext>
              </c:extLst>
            </c:dLbl>
            <c:dLbl>
              <c:idx val="7"/>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7-DF68-CE4D-B40F-419185BE7306}"/>
                </c:ext>
              </c:extLst>
            </c:dLbl>
            <c:dLbl>
              <c:idx val="8"/>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9-DF68-CE4D-B40F-419185BE7306}"/>
                </c:ext>
              </c:extLst>
            </c:dLbl>
            <c:dLbl>
              <c:idx val="9"/>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B-DF68-CE4D-B40F-419185BE7306}"/>
                </c:ext>
              </c:extLst>
            </c:dLbl>
            <c:dLbl>
              <c:idx val="1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D-DF68-CE4D-B40F-419185BE7306}"/>
                </c:ext>
              </c:extLst>
            </c:dLbl>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'3a. Outputs - Dedicated Vessel'!$A$64:$A$74</c:f>
              <c:strCache>
                <c:ptCount val="11"/>
                <c:pt idx="0">
                  <c:v>Compressor $/kW</c:v>
                </c:pt>
                <c:pt idx="1">
                  <c:v>Energy price</c:v>
                </c:pt>
                <c:pt idx="2">
                  <c:v>Discount rate</c:v>
                </c:pt>
                <c:pt idx="3">
                  <c:v>Maintenance %</c:v>
                </c:pt>
                <c:pt idx="4">
                  <c:v>Vessel cost</c:v>
                </c:pt>
                <c:pt idx="5">
                  <c:v>Nozzle unit cost</c:v>
                </c:pt>
                <c:pt idx="6">
                  <c:v>Annual utilization</c:v>
                </c:pt>
                <c:pt idx="7">
                  <c:v>Crew cost</c:v>
                </c:pt>
                <c:pt idx="8">
                  <c:v>Vessel fuel/yr</c:v>
                </c:pt>
                <c:pt idx="9">
                  <c:v>Particle output rate</c:v>
                </c:pt>
                <c:pt idx="10">
                  <c:v>Power per unit</c:v>
                </c:pt>
              </c:strCache>
            </c:strRef>
          </c:cat>
          <c:val>
            <c:numRef>
              <c:f>'3a. Outputs - Dedicated Vessel'!$D$64:$D$74</c:f>
              <c:numCache>
                <c:formatCode>\$#,##0</c:formatCode>
                <c:ptCount val="11"/>
                <c:pt idx="0">
                  <c:v>2865.0500708306572</c:v>
                </c:pt>
                <c:pt idx="1">
                  <c:v>4550.1751762057247</c:v>
                </c:pt>
                <c:pt idx="2">
                  <c:v>7270.7693733830311</c:v>
                </c:pt>
                <c:pt idx="3">
                  <c:v>7722.4839829596967</c:v>
                </c:pt>
                <c:pt idx="4">
                  <c:v>15272.799256505743</c:v>
                </c:pt>
                <c:pt idx="5">
                  <c:v>6714.9611035093694</c:v>
                </c:pt>
                <c:pt idx="6">
                  <c:v>4316.6758799081508</c:v>
                </c:pt>
                <c:pt idx="7">
                  <c:v>909.66474103735527</c:v>
                </c:pt>
                <c:pt idx="8">
                  <c:v>2401.5149163386159</c:v>
                </c:pt>
                <c:pt idx="9">
                  <c:v>2751.722374056546</c:v>
                </c:pt>
                <c:pt idx="10">
                  <c:v>7415.2252470363746</c:v>
                </c:pt>
              </c:numCache>
            </c:numRef>
          </c:val>
          <c:extLst>
            <c:ext xmlns:c16="http://schemas.microsoft.com/office/drawing/2014/chart" uri="{C3380CC4-5D6E-409C-BE32-E72D297353CC}">
              <c16:uniqueId val="{0000002E-DF68-CE4D-B40F-419185BE7306}"/>
            </c:ext>
          </c:extLst>
        </c:ser>
        <c:dLbls>
          <c:showLegendKey val="0"/>
          <c:showVal val="0"/>
          <c:showCatName val="0"/>
          <c:showSerName val="0"/>
          <c:showPercent val="0"/>
          <c:showBubbleSize val="0"/>
        </c:dLbls>
        <c:gapWidth val="150"/>
        <c:overlap val="100"/>
        <c:axId val="69165098"/>
        <c:axId val="84922956"/>
      </c:barChart>
      <c:catAx>
        <c:axId val="69165098"/>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922956"/>
        <c:crosses val="autoZero"/>
        <c:auto val="1"/>
        <c:lblAlgn val="ctr"/>
        <c:lblOffset val="100"/>
        <c:noMultiLvlLbl val="0"/>
      </c:catAx>
      <c:valAx>
        <c:axId val="84922956"/>
        <c:scaling>
          <c:orientation val="minMax"/>
          <c:max val="110000"/>
          <c:min val="10000"/>
        </c:scaling>
        <c:delete val="0"/>
        <c:axPos val="b"/>
        <c:majorGridlines>
          <c:spPr>
            <a:ln w="9360">
              <a:solidFill>
                <a:srgbClr val="878787"/>
              </a:solidFill>
              <a:round/>
            </a:ln>
          </c:spPr>
        </c:majorGridlines>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Levelized cost ($/tonne)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16509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Tornado Diagram — Cost per Unit Cooling ($/degC-ha-day)</a:t>
            </a:r>
          </a:p>
        </c:rich>
      </c:tx>
      <c:overlay val="0"/>
      <c:spPr>
        <a:noFill/>
        <a:ln w="0">
          <a:noFill/>
        </a:ln>
      </c:spPr>
    </c:title>
    <c:autoTitleDeleted val="0"/>
    <c:plotArea>
      <c:layout>
        <c:manualLayout>
          <c:xMode val="edge"/>
          <c:yMode val="edge"/>
          <c:x val="0.10013993651660499"/>
          <c:y val="0.170570484264981"/>
          <c:w val="0.86818662752995002"/>
          <c:h val="0.64872826555539598"/>
        </c:manualLayout>
      </c:layout>
      <c:barChart>
        <c:barDir val="bar"/>
        <c:grouping val="stacked"/>
        <c:varyColors val="0"/>
        <c:ser>
          <c:idx val="0"/>
          <c:order val="0"/>
          <c:tx>
            <c:v>spacer (hidden)</c:v>
          </c:tx>
          <c:spPr>
            <a:solidFill>
              <a:srgbClr val="FFFFFF"/>
            </a:solidFill>
            <a:ln w="936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'5b. Cooling-Value Sensitivity'!$A$6:$A$17</c:f>
              <c:strCache>
                <c:ptCount val="12"/>
                <c:pt idx="0">
                  <c:v>Model: Marine cloud albedo</c:v>
                </c:pt>
                <c:pt idx="1">
                  <c:v>Cost: Energy price</c:v>
                </c:pt>
                <c:pt idx="2">
                  <c:v>Cost: Vessel cost</c:v>
                </c:pt>
                <c:pt idx="3">
                  <c:v>Cost: Nozzle unit cost</c:v>
                </c:pt>
                <c:pt idx="4">
                  <c:v>Cost: Annual utilization</c:v>
                </c:pt>
                <c:pt idx="5">
                  <c:v>Cost: Crew cost</c:v>
                </c:pt>
                <c:pt idx="6">
                  <c:v>Model: Cloud-top shortwave</c:v>
                </c:pt>
                <c:pt idx="7">
                  <c:v>Model: Droplet-number enhancement</c:v>
                </c:pt>
                <c:pt idx="8">
                  <c:v>Model: Aerosol lifetime</c:v>
                </c:pt>
                <c:pt idx="9">
                  <c:v>Model: Temperature sensitivity</c:v>
                </c:pt>
                <c:pt idx="10">
                  <c:v>Model: Cooling realization factor</c:v>
                </c:pt>
                <c:pt idx="11">
                  <c:v>Model: Survival factor</c:v>
                </c:pt>
              </c:strCache>
            </c:strRef>
          </c:cat>
          <c:val>
            <c:numRef>
              <c:f>'5b. Cooling-Value Sensitivity'!$J$6:$J$17</c:f>
              <c:numCache>
                <c:formatCode>\$#,##0.00</c:formatCode>
                <c:ptCount val="12"/>
                <c:pt idx="0">
                  <c:v>3.4487846627631442</c:v>
                </c:pt>
                <c:pt idx="1">
                  <c:v>3.164823808588439</c:v>
                </c:pt>
                <c:pt idx="2">
                  <c:v>2.6174579694009807</c:v>
                </c:pt>
                <c:pt idx="3">
                  <c:v>3.3542520584852</c:v>
                </c:pt>
                <c:pt idx="4">
                  <c:v>3.3017319398081839</c:v>
                </c:pt>
                <c:pt idx="5">
                  <c:v>3.3535659482953766</c:v>
                </c:pt>
                <c:pt idx="6">
                  <c:v>2.9784958451136245</c:v>
                </c:pt>
                <c:pt idx="7">
                  <c:v>0.65270254047752252</c:v>
                </c:pt>
                <c:pt idx="8">
                  <c:v>2.5865884970723583</c:v>
                </c:pt>
                <c:pt idx="9">
                  <c:v>2.4249267160053356</c:v>
                </c:pt>
                <c:pt idx="10">
                  <c:v>1.7243923313815721</c:v>
                </c:pt>
                <c:pt idx="11">
                  <c:v>2.0692707976578864</c:v>
                </c:pt>
              </c:numCache>
            </c:numRef>
          </c:val>
          <c:extLst>
            <c:ext xmlns:c16="http://schemas.microsoft.com/office/drawing/2014/chart" uri="{C3380CC4-5D6E-409C-BE32-E72D297353CC}">
              <c16:uniqueId val="{00000000-36D4-464E-8091-FE51698AF99A}"/>
            </c:ext>
          </c:extLst>
        </c:ser>
        <c:ser>
          <c:idx val="1"/>
          <c:order val="1"/>
          <c:tx>
            <c:v>cost-reducing span</c:v>
          </c:tx>
          <c:spPr>
            <a:solidFill>
              <a:srgbClr val="93C47D"/>
            </a:solidFill>
            <a:ln w="0">
              <a:noFill/>
            </a:ln>
          </c:spPr>
          <c:invertIfNegative val="0"/>
          <c:dPt>
            <c:idx val="0"/>
            <c:invertIfNegative val="0"/>
            <c:bubble3D val="0"/>
            <c:spPr>
              <a:solidFill>
                <a:srgbClr val="C0504D"/>
              </a:solidFill>
              <a:ln w="0">
                <a:noFill/>
              </a:ln>
            </c:spPr>
            <c:extLst>
              <c:ext xmlns:c16="http://schemas.microsoft.com/office/drawing/2014/chart" uri="{C3380CC4-5D6E-409C-BE32-E72D297353CC}">
                <c16:uniqueId val="{00000002-36D4-464E-8091-FE51698AF99A}"/>
              </c:ext>
            </c:extLst>
          </c:dPt>
          <c:dPt>
            <c:idx val="1"/>
            <c:invertIfNegative val="0"/>
            <c:bubble3D val="0"/>
            <c:spPr>
              <a:solidFill>
                <a:srgbClr val="C0504D"/>
              </a:solidFill>
              <a:ln w="0">
                <a:noFill/>
              </a:ln>
            </c:spPr>
            <c:extLst>
              <c:ext xmlns:c16="http://schemas.microsoft.com/office/drawing/2014/chart" uri="{C3380CC4-5D6E-409C-BE32-E72D297353CC}">
                <c16:uniqueId val="{00000004-36D4-464E-8091-FE51698AF99A}"/>
              </c:ext>
            </c:extLst>
          </c:dPt>
          <c:dPt>
            <c:idx val="2"/>
            <c:invertIfNegative val="0"/>
            <c:bubble3D val="0"/>
            <c:spPr>
              <a:solidFill>
                <a:srgbClr val="C0504D"/>
              </a:solidFill>
              <a:ln w="0">
                <a:noFill/>
              </a:ln>
            </c:spPr>
            <c:extLst>
              <c:ext xmlns:c16="http://schemas.microsoft.com/office/drawing/2014/chart" uri="{C3380CC4-5D6E-409C-BE32-E72D297353CC}">
                <c16:uniqueId val="{00000006-36D4-464E-8091-FE51698AF99A}"/>
              </c:ext>
            </c:extLst>
          </c:dPt>
          <c:dPt>
            <c:idx val="3"/>
            <c:invertIfNegative val="0"/>
            <c:bubble3D val="0"/>
            <c:spPr>
              <a:solidFill>
                <a:srgbClr val="C0504D"/>
              </a:solidFill>
              <a:ln w="0">
                <a:noFill/>
              </a:ln>
            </c:spPr>
            <c:extLst>
              <c:ext xmlns:c16="http://schemas.microsoft.com/office/drawing/2014/chart" uri="{C3380CC4-5D6E-409C-BE32-E72D297353CC}">
                <c16:uniqueId val="{00000008-36D4-464E-8091-FE51698AF99A}"/>
              </c:ext>
            </c:extLst>
          </c:dPt>
          <c:dPt>
            <c:idx val="4"/>
            <c:invertIfNegative val="0"/>
            <c:bubble3D val="0"/>
            <c:spPr>
              <a:solidFill>
                <a:srgbClr val="C0504D"/>
              </a:solidFill>
              <a:ln w="0">
                <a:noFill/>
              </a:ln>
            </c:spPr>
            <c:extLst>
              <c:ext xmlns:c16="http://schemas.microsoft.com/office/drawing/2014/chart" uri="{C3380CC4-5D6E-409C-BE32-E72D297353CC}">
                <c16:uniqueId val="{0000000A-36D4-464E-8091-FE51698AF99A}"/>
              </c:ext>
            </c:extLst>
          </c:dPt>
          <c:dPt>
            <c:idx val="5"/>
            <c:invertIfNegative val="0"/>
            <c:bubble3D val="0"/>
            <c:spPr>
              <a:solidFill>
                <a:srgbClr val="C0504D"/>
              </a:solidFill>
              <a:ln w="0">
                <a:noFill/>
              </a:ln>
            </c:spPr>
            <c:extLst>
              <c:ext xmlns:c16="http://schemas.microsoft.com/office/drawing/2014/chart" uri="{C3380CC4-5D6E-409C-BE32-E72D297353CC}">
                <c16:uniqueId val="{0000000C-36D4-464E-8091-FE51698AF99A}"/>
              </c:ext>
            </c:extLst>
          </c:dPt>
          <c:dPt>
            <c:idx val="6"/>
            <c:invertIfNegative val="0"/>
            <c:bubble3D val="0"/>
            <c:spPr>
              <a:solidFill>
                <a:srgbClr val="C0504D"/>
              </a:solidFill>
              <a:ln w="0">
                <a:noFill/>
              </a:ln>
            </c:spPr>
            <c:extLst>
              <c:ext xmlns:c16="http://schemas.microsoft.com/office/drawing/2014/chart" uri="{C3380CC4-5D6E-409C-BE32-E72D297353CC}">
                <c16:uniqueId val="{0000000E-36D4-464E-8091-FE51698AF99A}"/>
              </c:ext>
            </c:extLst>
          </c:dPt>
          <c:dPt>
            <c:idx val="7"/>
            <c:invertIfNegative val="0"/>
            <c:bubble3D val="0"/>
            <c:spPr>
              <a:solidFill>
                <a:srgbClr val="C0504D"/>
              </a:solidFill>
              <a:ln w="0">
                <a:noFill/>
              </a:ln>
            </c:spPr>
            <c:extLst>
              <c:ext xmlns:c16="http://schemas.microsoft.com/office/drawing/2014/chart" uri="{C3380CC4-5D6E-409C-BE32-E72D297353CC}">
                <c16:uniqueId val="{00000010-36D4-464E-8091-FE51698AF99A}"/>
              </c:ext>
            </c:extLst>
          </c:dPt>
          <c:dPt>
            <c:idx val="8"/>
            <c:invertIfNegative val="0"/>
            <c:bubble3D val="0"/>
            <c:spPr>
              <a:solidFill>
                <a:srgbClr val="C0504D"/>
              </a:solidFill>
              <a:ln w="0">
                <a:noFill/>
              </a:ln>
            </c:spPr>
            <c:extLst>
              <c:ext xmlns:c16="http://schemas.microsoft.com/office/drawing/2014/chart" uri="{C3380CC4-5D6E-409C-BE32-E72D297353CC}">
                <c16:uniqueId val="{00000012-36D4-464E-8091-FE51698AF99A}"/>
              </c:ext>
            </c:extLst>
          </c:dPt>
          <c:dPt>
            <c:idx val="9"/>
            <c:invertIfNegative val="0"/>
            <c:bubble3D val="0"/>
            <c:spPr>
              <a:solidFill>
                <a:srgbClr val="C0504D"/>
              </a:solidFill>
              <a:ln w="0">
                <a:noFill/>
              </a:ln>
            </c:spPr>
            <c:extLst>
              <c:ext xmlns:c16="http://schemas.microsoft.com/office/drawing/2014/chart" uri="{C3380CC4-5D6E-409C-BE32-E72D297353CC}">
                <c16:uniqueId val="{00000014-36D4-464E-8091-FE51698AF99A}"/>
              </c:ext>
            </c:extLst>
          </c:dPt>
          <c:dPt>
            <c:idx val="10"/>
            <c:invertIfNegative val="0"/>
            <c:bubble3D val="0"/>
            <c:spPr>
              <a:solidFill>
                <a:srgbClr val="C0504D"/>
              </a:solidFill>
              <a:ln w="0">
                <a:noFill/>
              </a:ln>
            </c:spPr>
            <c:extLst>
              <c:ext xmlns:c16="http://schemas.microsoft.com/office/drawing/2014/chart" uri="{C3380CC4-5D6E-409C-BE32-E72D297353CC}">
                <c16:uniqueId val="{00000016-36D4-464E-8091-FE51698AF99A}"/>
              </c:ext>
            </c:extLst>
          </c:dPt>
          <c:dLbls>
            <c:dLbl>
              <c:idx val="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36D4-464E-8091-FE51698AF99A}"/>
                </c:ext>
              </c:extLst>
            </c:dLbl>
            <c:dLbl>
              <c:idx val="1"/>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36D4-464E-8091-FE51698AF99A}"/>
                </c:ext>
              </c:extLst>
            </c:dLbl>
            <c:dLbl>
              <c:idx val="2"/>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36D4-464E-8091-FE51698AF99A}"/>
                </c:ext>
              </c:extLst>
            </c:dLbl>
            <c:dLbl>
              <c:idx val="3"/>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36D4-464E-8091-FE51698AF99A}"/>
                </c:ext>
              </c:extLst>
            </c:dLbl>
            <c:dLbl>
              <c:idx val="4"/>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36D4-464E-8091-FE51698AF99A}"/>
                </c:ext>
              </c:extLst>
            </c:dLbl>
            <c:dLbl>
              <c:idx val="5"/>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36D4-464E-8091-FE51698AF99A}"/>
                </c:ext>
              </c:extLst>
            </c:dLbl>
            <c:dLbl>
              <c:idx val="6"/>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36D4-464E-8091-FE51698AF99A}"/>
                </c:ext>
              </c:extLst>
            </c:dLbl>
            <c:dLbl>
              <c:idx val="7"/>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36D4-464E-8091-FE51698AF99A}"/>
                </c:ext>
              </c:extLst>
            </c:dLbl>
            <c:dLbl>
              <c:idx val="8"/>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36D4-464E-8091-FE51698AF99A}"/>
                </c:ext>
              </c:extLst>
            </c:dLbl>
            <c:dLbl>
              <c:idx val="9"/>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36D4-464E-8091-FE51698AF99A}"/>
                </c:ext>
              </c:extLst>
            </c:dLbl>
            <c:dLbl>
              <c:idx val="1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36D4-464E-8091-FE51698AF99A}"/>
                </c:ext>
              </c:extLst>
            </c:dLbl>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'5b. Cooling-Value Sensitivity'!$A$6:$A$17</c:f>
              <c:strCache>
                <c:ptCount val="12"/>
                <c:pt idx="0">
                  <c:v>Model: Marine cloud albedo</c:v>
                </c:pt>
                <c:pt idx="1">
                  <c:v>Cost: Energy price</c:v>
                </c:pt>
                <c:pt idx="2">
                  <c:v>Cost: Vessel cost</c:v>
                </c:pt>
                <c:pt idx="3">
                  <c:v>Cost: Nozzle unit cost</c:v>
                </c:pt>
                <c:pt idx="4">
                  <c:v>Cost: Annual utilization</c:v>
                </c:pt>
                <c:pt idx="5">
                  <c:v>Cost: Crew cost</c:v>
                </c:pt>
                <c:pt idx="6">
                  <c:v>Model: Cloud-top shortwave</c:v>
                </c:pt>
                <c:pt idx="7">
                  <c:v>Model: Droplet-number enhancement</c:v>
                </c:pt>
                <c:pt idx="8">
                  <c:v>Model: Aerosol lifetime</c:v>
                </c:pt>
                <c:pt idx="9">
                  <c:v>Model: Temperature sensitivity</c:v>
                </c:pt>
                <c:pt idx="10">
                  <c:v>Model: Cooling realization factor</c:v>
                </c:pt>
                <c:pt idx="11">
                  <c:v>Model: Survival factor</c:v>
                </c:pt>
              </c:strCache>
            </c:strRef>
          </c:cat>
          <c:val>
            <c:numRef>
              <c:f>'5b. Cooling-Value Sensitivity'!$K$6:$K$17</c:f>
              <c:numCache>
                <c:formatCode>\$#,##0.00</c:formatCode>
                <c:ptCount val="12"/>
                <c:pt idx="0">
                  <c:v>0</c:v>
                </c:pt>
                <c:pt idx="1">
                  <c:v>0.28396085417470518</c:v>
                </c:pt>
                <c:pt idx="2">
                  <c:v>0.83132669336216347</c:v>
                </c:pt>
                <c:pt idx="3">
                  <c:v>9.4532604277944188E-2</c:v>
                </c:pt>
                <c:pt idx="4">
                  <c:v>0.1470527229549603</c:v>
                </c:pt>
                <c:pt idx="5">
                  <c:v>9.521871446776764E-2</c:v>
                </c:pt>
                <c:pt idx="6">
                  <c:v>0.47028881764951969</c:v>
                </c:pt>
                <c:pt idx="7">
                  <c:v>2.7960821222856218</c:v>
                </c:pt>
                <c:pt idx="8">
                  <c:v>0.86219616569078594</c:v>
                </c:pt>
                <c:pt idx="9">
                  <c:v>1.0238579467578086</c:v>
                </c:pt>
                <c:pt idx="10">
                  <c:v>1.7243923313815721</c:v>
                </c:pt>
                <c:pt idx="11">
                  <c:v>1.3795138651052579</c:v>
                </c:pt>
              </c:numCache>
            </c:numRef>
          </c:val>
          <c:extLst>
            <c:ext xmlns:c16="http://schemas.microsoft.com/office/drawing/2014/chart" uri="{C3380CC4-5D6E-409C-BE32-E72D297353CC}">
              <c16:uniqueId val="{00000017-36D4-464E-8091-FE51698AF99A}"/>
            </c:ext>
          </c:extLst>
        </c:ser>
        <c:ser>
          <c:idx val="2"/>
          <c:order val="2"/>
          <c:tx>
            <c:v>cost-raising span</c:v>
          </c:tx>
          <c:spPr>
            <a:solidFill>
              <a:srgbClr val="E06666"/>
            </a:solidFill>
            <a:ln w="0">
              <a:noFill/>
            </a:ln>
          </c:spPr>
          <c:invertIfNegative val="0"/>
          <c:dPt>
            <c:idx val="0"/>
            <c:invertIfNegative val="0"/>
            <c:bubble3D val="0"/>
            <c:spPr>
              <a:solidFill>
                <a:srgbClr val="9BBB59"/>
              </a:solidFill>
              <a:ln w="0">
                <a:noFill/>
              </a:ln>
            </c:spPr>
            <c:extLst>
              <c:ext xmlns:c16="http://schemas.microsoft.com/office/drawing/2014/chart" uri="{C3380CC4-5D6E-409C-BE32-E72D297353CC}">
                <c16:uniqueId val="{00000019-36D4-464E-8091-FE51698AF99A}"/>
              </c:ext>
            </c:extLst>
          </c:dPt>
          <c:dPt>
            <c:idx val="1"/>
            <c:invertIfNegative val="0"/>
            <c:bubble3D val="0"/>
            <c:spPr>
              <a:solidFill>
                <a:srgbClr val="9BBB59"/>
              </a:solidFill>
              <a:ln w="0">
                <a:noFill/>
              </a:ln>
            </c:spPr>
            <c:extLst>
              <c:ext xmlns:c16="http://schemas.microsoft.com/office/drawing/2014/chart" uri="{C3380CC4-5D6E-409C-BE32-E72D297353CC}">
                <c16:uniqueId val="{0000001B-36D4-464E-8091-FE51698AF99A}"/>
              </c:ext>
            </c:extLst>
          </c:dPt>
          <c:dPt>
            <c:idx val="2"/>
            <c:invertIfNegative val="0"/>
            <c:bubble3D val="0"/>
            <c:spPr>
              <a:solidFill>
                <a:srgbClr val="9BBB59"/>
              </a:solidFill>
              <a:ln w="0">
                <a:noFill/>
              </a:ln>
            </c:spPr>
            <c:extLst>
              <c:ext xmlns:c16="http://schemas.microsoft.com/office/drawing/2014/chart" uri="{C3380CC4-5D6E-409C-BE32-E72D297353CC}">
                <c16:uniqueId val="{0000001D-36D4-464E-8091-FE51698AF99A}"/>
              </c:ext>
            </c:extLst>
          </c:dPt>
          <c:dPt>
            <c:idx val="3"/>
            <c:invertIfNegative val="0"/>
            <c:bubble3D val="0"/>
            <c:spPr>
              <a:solidFill>
                <a:srgbClr val="9BBB59"/>
              </a:solidFill>
              <a:ln w="0">
                <a:noFill/>
              </a:ln>
            </c:spPr>
            <c:extLst>
              <c:ext xmlns:c16="http://schemas.microsoft.com/office/drawing/2014/chart" uri="{C3380CC4-5D6E-409C-BE32-E72D297353CC}">
                <c16:uniqueId val="{0000001F-36D4-464E-8091-FE51698AF99A}"/>
              </c:ext>
            </c:extLst>
          </c:dPt>
          <c:dPt>
            <c:idx val="4"/>
            <c:invertIfNegative val="0"/>
            <c:bubble3D val="0"/>
            <c:spPr>
              <a:solidFill>
                <a:srgbClr val="9BBB59"/>
              </a:solidFill>
              <a:ln w="0">
                <a:noFill/>
              </a:ln>
            </c:spPr>
            <c:extLst>
              <c:ext xmlns:c16="http://schemas.microsoft.com/office/drawing/2014/chart" uri="{C3380CC4-5D6E-409C-BE32-E72D297353CC}">
                <c16:uniqueId val="{00000021-36D4-464E-8091-FE51698AF99A}"/>
              </c:ext>
            </c:extLst>
          </c:dPt>
          <c:dPt>
            <c:idx val="5"/>
            <c:invertIfNegative val="0"/>
            <c:bubble3D val="0"/>
            <c:spPr>
              <a:solidFill>
                <a:srgbClr val="9BBB59"/>
              </a:solidFill>
              <a:ln w="0">
                <a:noFill/>
              </a:ln>
            </c:spPr>
            <c:extLst>
              <c:ext xmlns:c16="http://schemas.microsoft.com/office/drawing/2014/chart" uri="{C3380CC4-5D6E-409C-BE32-E72D297353CC}">
                <c16:uniqueId val="{00000023-36D4-464E-8091-FE51698AF99A}"/>
              </c:ext>
            </c:extLst>
          </c:dPt>
          <c:dPt>
            <c:idx val="6"/>
            <c:invertIfNegative val="0"/>
            <c:bubble3D val="0"/>
            <c:spPr>
              <a:solidFill>
                <a:srgbClr val="9BBB59"/>
              </a:solidFill>
              <a:ln w="0">
                <a:noFill/>
              </a:ln>
            </c:spPr>
            <c:extLst>
              <c:ext xmlns:c16="http://schemas.microsoft.com/office/drawing/2014/chart" uri="{C3380CC4-5D6E-409C-BE32-E72D297353CC}">
                <c16:uniqueId val="{00000025-36D4-464E-8091-FE51698AF99A}"/>
              </c:ext>
            </c:extLst>
          </c:dPt>
          <c:dPt>
            <c:idx val="7"/>
            <c:invertIfNegative val="0"/>
            <c:bubble3D val="0"/>
            <c:spPr>
              <a:solidFill>
                <a:srgbClr val="9BBB59"/>
              </a:solidFill>
              <a:ln w="0">
                <a:noFill/>
              </a:ln>
            </c:spPr>
            <c:extLst>
              <c:ext xmlns:c16="http://schemas.microsoft.com/office/drawing/2014/chart" uri="{C3380CC4-5D6E-409C-BE32-E72D297353CC}">
                <c16:uniqueId val="{00000027-36D4-464E-8091-FE51698AF99A}"/>
              </c:ext>
            </c:extLst>
          </c:dPt>
          <c:dPt>
            <c:idx val="8"/>
            <c:invertIfNegative val="0"/>
            <c:bubble3D val="0"/>
            <c:spPr>
              <a:solidFill>
                <a:srgbClr val="9BBB59"/>
              </a:solidFill>
              <a:ln w="0">
                <a:noFill/>
              </a:ln>
            </c:spPr>
            <c:extLst>
              <c:ext xmlns:c16="http://schemas.microsoft.com/office/drawing/2014/chart" uri="{C3380CC4-5D6E-409C-BE32-E72D297353CC}">
                <c16:uniqueId val="{00000029-36D4-464E-8091-FE51698AF99A}"/>
              </c:ext>
            </c:extLst>
          </c:dPt>
          <c:dPt>
            <c:idx val="9"/>
            <c:invertIfNegative val="0"/>
            <c:bubble3D val="0"/>
            <c:spPr>
              <a:solidFill>
                <a:srgbClr val="9BBB59"/>
              </a:solidFill>
              <a:ln w="0">
                <a:noFill/>
              </a:ln>
            </c:spPr>
            <c:extLst>
              <c:ext xmlns:c16="http://schemas.microsoft.com/office/drawing/2014/chart" uri="{C3380CC4-5D6E-409C-BE32-E72D297353CC}">
                <c16:uniqueId val="{0000002B-36D4-464E-8091-FE51698AF99A}"/>
              </c:ext>
            </c:extLst>
          </c:dPt>
          <c:dPt>
            <c:idx val="10"/>
            <c:invertIfNegative val="0"/>
            <c:bubble3D val="0"/>
            <c:spPr>
              <a:solidFill>
                <a:srgbClr val="9BBB59"/>
              </a:solidFill>
              <a:ln w="0">
                <a:noFill/>
              </a:ln>
            </c:spPr>
            <c:extLst>
              <c:ext xmlns:c16="http://schemas.microsoft.com/office/drawing/2014/chart" uri="{C3380CC4-5D6E-409C-BE32-E72D297353CC}">
                <c16:uniqueId val="{0000002D-36D4-464E-8091-FE51698AF99A}"/>
              </c:ext>
            </c:extLst>
          </c:dPt>
          <c:dLbls>
            <c:dLbl>
              <c:idx val="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36D4-464E-8091-FE51698AF99A}"/>
                </c:ext>
              </c:extLst>
            </c:dLbl>
            <c:dLbl>
              <c:idx val="1"/>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B-36D4-464E-8091-FE51698AF99A}"/>
                </c:ext>
              </c:extLst>
            </c:dLbl>
            <c:dLbl>
              <c:idx val="2"/>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D-36D4-464E-8091-FE51698AF99A}"/>
                </c:ext>
              </c:extLst>
            </c:dLbl>
            <c:dLbl>
              <c:idx val="3"/>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F-36D4-464E-8091-FE51698AF99A}"/>
                </c:ext>
              </c:extLst>
            </c:dLbl>
            <c:dLbl>
              <c:idx val="4"/>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1-36D4-464E-8091-FE51698AF99A}"/>
                </c:ext>
              </c:extLst>
            </c:dLbl>
            <c:dLbl>
              <c:idx val="5"/>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3-36D4-464E-8091-FE51698AF99A}"/>
                </c:ext>
              </c:extLst>
            </c:dLbl>
            <c:dLbl>
              <c:idx val="6"/>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5-36D4-464E-8091-FE51698AF99A}"/>
                </c:ext>
              </c:extLst>
            </c:dLbl>
            <c:dLbl>
              <c:idx val="7"/>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7-36D4-464E-8091-FE51698AF99A}"/>
                </c:ext>
              </c:extLst>
            </c:dLbl>
            <c:dLbl>
              <c:idx val="8"/>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9-36D4-464E-8091-FE51698AF99A}"/>
                </c:ext>
              </c:extLst>
            </c:dLbl>
            <c:dLbl>
              <c:idx val="9"/>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B-36D4-464E-8091-FE51698AF99A}"/>
                </c:ext>
              </c:extLst>
            </c:dLbl>
            <c:dLbl>
              <c:idx val="10"/>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D-36D4-464E-8091-FE51698AF99A}"/>
                </c:ext>
              </c:extLst>
            </c:dLbl>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'5b. Cooling-Value Sensitivity'!$A$6:$A$17</c:f>
              <c:strCache>
                <c:ptCount val="12"/>
                <c:pt idx="0">
                  <c:v>Model: Marine cloud albedo</c:v>
                </c:pt>
                <c:pt idx="1">
                  <c:v>Cost: Energy price</c:v>
                </c:pt>
                <c:pt idx="2">
                  <c:v>Cost: Vessel cost</c:v>
                </c:pt>
                <c:pt idx="3">
                  <c:v>Cost: Nozzle unit cost</c:v>
                </c:pt>
                <c:pt idx="4">
                  <c:v>Cost: Annual utilization</c:v>
                </c:pt>
                <c:pt idx="5">
                  <c:v>Cost: Crew cost</c:v>
                </c:pt>
                <c:pt idx="6">
                  <c:v>Model: Cloud-top shortwave</c:v>
                </c:pt>
                <c:pt idx="7">
                  <c:v>Model: Droplet-number enhancement</c:v>
                </c:pt>
                <c:pt idx="8">
                  <c:v>Model: Aerosol lifetime</c:v>
                </c:pt>
                <c:pt idx="9">
                  <c:v>Model: Temperature sensitivity</c:v>
                </c:pt>
                <c:pt idx="10">
                  <c:v>Model: Cooling realization factor</c:v>
                </c:pt>
                <c:pt idx="11">
                  <c:v>Model: Survival factor</c:v>
                </c:pt>
              </c:strCache>
            </c:strRef>
          </c:cat>
          <c:val>
            <c:numRef>
              <c:f>'5b. Cooling-Value Sensitivity'!$L$6:$L$17</c:f>
              <c:numCache>
                <c:formatCode>\$#,##0.00</c:formatCode>
                <c:ptCount val="12"/>
                <c:pt idx="0">
                  <c:v>0.49268352325187736</c:v>
                </c:pt>
                <c:pt idx="1">
                  <c:v>0.23866061227086899</c:v>
                </c:pt>
                <c:pt idx="2">
                  <c:v>0.92286791125519185</c:v>
                </c:pt>
                <c:pt idx="3">
                  <c:v>0.37679492725827402</c:v>
                </c:pt>
                <c:pt idx="4">
                  <c:v>0.22376109498498176</c:v>
                </c:pt>
                <c:pt idx="5">
                  <c:v>6.3607766040481017E-3</c:v>
                </c:pt>
                <c:pt idx="6">
                  <c:v>0.64664712426808935</c:v>
                </c:pt>
                <c:pt idx="7">
                  <c:v>0</c:v>
                </c:pt>
                <c:pt idx="8">
                  <c:v>1.7243923313815723</c:v>
                </c:pt>
                <c:pt idx="9">
                  <c:v>1.7243923313815723</c:v>
                </c:pt>
                <c:pt idx="10">
                  <c:v>3.4487846627631442</c:v>
                </c:pt>
                <c:pt idx="11">
                  <c:v>6.8975693255262875</c:v>
                </c:pt>
              </c:numCache>
            </c:numRef>
          </c:val>
          <c:extLst>
            <c:ext xmlns:c16="http://schemas.microsoft.com/office/drawing/2014/chart" uri="{C3380CC4-5D6E-409C-BE32-E72D297353CC}">
              <c16:uniqueId val="{0000002E-36D4-464E-8091-FE51698AF99A}"/>
            </c:ext>
          </c:extLst>
        </c:ser>
        <c:dLbls>
          <c:showLegendKey val="0"/>
          <c:showVal val="0"/>
          <c:showCatName val="0"/>
          <c:showSerName val="0"/>
          <c:showPercent val="0"/>
          <c:showBubbleSize val="0"/>
        </c:dLbls>
        <c:gapWidth val="150"/>
        <c:overlap val="100"/>
        <c:axId val="89128763"/>
        <c:axId val="10730931"/>
      </c:barChart>
      <c:catAx>
        <c:axId val="89128763"/>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730931"/>
        <c:crosses val="autoZero"/>
        <c:auto val="1"/>
        <c:lblAlgn val="ctr"/>
        <c:lblOffset val="100"/>
        <c:noMultiLvlLbl val="0"/>
      </c:catAx>
      <c:valAx>
        <c:axId val="10730931"/>
        <c:scaling>
          <c:orientation val="minMax"/>
          <c:max val="7"/>
          <c:min val="0"/>
        </c:scaling>
        <c:delete val="0"/>
        <c:axPos val="b"/>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12876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660240</xdr:colOff>
      <xdr:row>28</xdr:row>
      <xdr:rowOff>101520</xdr:rowOff>
    </xdr:from>
    <xdr:to>
      <xdr:col>10</xdr:col>
      <xdr:colOff>819000</xdr:colOff>
      <xdr:row>46</xdr:row>
      <xdr:rowOff>260280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9</xdr:col>
      <xdr:colOff>538560</xdr:colOff>
      <xdr:row>44</xdr:row>
      <xdr:rowOff>56880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opLeftCell="A4" zoomScaleNormal="100" zoomScalePageLayoutView="60" workbookViewId="0">
      <selection activeCell="A6" sqref="A6:G6"/>
    </sheetView>
  </sheetViews>
  <sheetFormatPr baseColWidth="10" defaultColWidth="8.6640625" defaultRowHeight="14" x14ac:dyDescent="0.15"/>
  <cols>
    <col min="1" max="1" width="34.1640625" style="167" customWidth="1"/>
    <col min="2" max="2" width="21.6640625" style="167" customWidth="1"/>
    <col min="3" max="7" width="13" style="167" customWidth="1"/>
    <col min="8" max="16384" width="8.6640625" style="167"/>
  </cols>
  <sheetData>
    <row r="1" spans="1:8" ht="24" customHeight="1" x14ac:dyDescent="0.15">
      <c r="A1" s="344" t="s">
        <v>975</v>
      </c>
      <c r="B1" s="344"/>
      <c r="C1" s="344"/>
      <c r="D1" s="344"/>
      <c r="E1" s="344"/>
      <c r="F1" s="344"/>
      <c r="G1" s="344"/>
    </row>
    <row r="2" spans="1:8" ht="15" customHeight="1" x14ac:dyDescent="0.15">
      <c r="A2" s="168"/>
    </row>
    <row r="3" spans="1:8" ht="15" customHeight="1" x14ac:dyDescent="0.15">
      <c r="A3" s="346" t="s">
        <v>782</v>
      </c>
      <c r="B3" s="346"/>
      <c r="C3" s="346"/>
      <c r="D3" s="346"/>
      <c r="E3" s="346"/>
      <c r="F3" s="346"/>
      <c r="G3" s="346"/>
    </row>
    <row r="4" spans="1:8" ht="107" customHeight="1" x14ac:dyDescent="0.15">
      <c r="A4" s="347" t="s">
        <v>784</v>
      </c>
      <c r="B4" s="347"/>
      <c r="C4" s="347"/>
      <c r="D4" s="347"/>
      <c r="E4" s="347"/>
      <c r="F4" s="347"/>
      <c r="G4" s="347"/>
    </row>
    <row r="5" spans="1:8" ht="15" customHeight="1" x14ac:dyDescent="0.15">
      <c r="A5" s="346" t="s">
        <v>783</v>
      </c>
      <c r="B5" s="346"/>
      <c r="C5" s="346"/>
      <c r="D5" s="346"/>
      <c r="E5" s="346"/>
      <c r="F5" s="346"/>
      <c r="G5" s="346"/>
    </row>
    <row r="6" spans="1:8" ht="92" customHeight="1" x14ac:dyDescent="0.15">
      <c r="A6" s="347" t="s">
        <v>785</v>
      </c>
      <c r="B6" s="347"/>
      <c r="C6" s="347"/>
      <c r="D6" s="347"/>
      <c r="E6" s="347"/>
      <c r="F6" s="347"/>
      <c r="G6" s="347"/>
    </row>
    <row r="7" spans="1:8" ht="15" customHeight="1" x14ac:dyDescent="0.15">
      <c r="A7" s="169" t="s">
        <v>0</v>
      </c>
      <c r="B7" s="169"/>
      <c r="C7" s="169"/>
      <c r="D7" s="169"/>
      <c r="E7" s="169"/>
      <c r="F7" s="169"/>
      <c r="G7" s="170"/>
    </row>
    <row r="8" spans="1:8" ht="54" customHeight="1" x14ac:dyDescent="0.15">
      <c r="A8" s="347" t="s">
        <v>786</v>
      </c>
      <c r="B8" s="347"/>
      <c r="C8" s="347"/>
      <c r="D8" s="347"/>
      <c r="E8" s="347"/>
      <c r="F8" s="347"/>
      <c r="G8" s="347"/>
    </row>
    <row r="9" spans="1:8" ht="32" customHeight="1" x14ac:dyDescent="0.15">
      <c r="A9" s="171" t="s">
        <v>1</v>
      </c>
      <c r="B9" s="171"/>
      <c r="C9" s="171"/>
      <c r="D9" s="171"/>
      <c r="E9" s="171"/>
      <c r="F9" s="171"/>
      <c r="G9" s="172"/>
    </row>
    <row r="10" spans="1:8" ht="15" customHeight="1" x14ac:dyDescent="0.15">
      <c r="A10" s="345" t="s">
        <v>2</v>
      </c>
      <c r="B10" s="345"/>
      <c r="C10" s="345"/>
      <c r="D10" s="345"/>
      <c r="E10" s="345"/>
      <c r="F10" s="345"/>
      <c r="G10" s="345"/>
      <c r="H10" s="345"/>
    </row>
    <row r="11" spans="1:8" ht="15" customHeight="1" x14ac:dyDescent="0.15">
      <c r="A11" s="345" t="s">
        <v>3</v>
      </c>
      <c r="B11" s="345"/>
      <c r="C11" s="345"/>
      <c r="D11" s="345"/>
      <c r="E11" s="345"/>
      <c r="F11" s="345"/>
      <c r="G11" s="345"/>
      <c r="H11" s="345"/>
    </row>
    <row r="12" spans="1:8" ht="15" customHeight="1" x14ac:dyDescent="0.15">
      <c r="A12" s="345" t="s">
        <v>4</v>
      </c>
      <c r="B12" s="345"/>
      <c r="C12" s="345"/>
      <c r="D12" s="345"/>
      <c r="E12" s="345"/>
      <c r="F12" s="345"/>
      <c r="G12" s="345"/>
      <c r="H12" s="345"/>
    </row>
    <row r="13" spans="1:8" ht="38.5" customHeight="1" x14ac:dyDescent="0.15">
      <c r="A13" s="345" t="s">
        <v>5</v>
      </c>
      <c r="B13" s="345"/>
      <c r="C13" s="345"/>
      <c r="D13" s="345"/>
      <c r="E13" s="345"/>
      <c r="F13" s="345"/>
      <c r="G13" s="345"/>
      <c r="H13" s="345"/>
    </row>
    <row r="14" spans="1:8" ht="31.5" customHeight="1" x14ac:dyDescent="0.15">
      <c r="A14" s="345" t="s">
        <v>6</v>
      </c>
      <c r="B14" s="345"/>
      <c r="C14" s="345"/>
      <c r="D14" s="345"/>
      <c r="E14" s="345"/>
      <c r="F14" s="345"/>
      <c r="G14" s="345"/>
      <c r="H14" s="345"/>
    </row>
    <row r="15" spans="1:8" ht="27" customHeight="1" x14ac:dyDescent="0.15">
      <c r="A15" s="171" t="s">
        <v>7</v>
      </c>
      <c r="B15" s="171"/>
      <c r="C15" s="171"/>
      <c r="D15" s="171"/>
      <c r="E15" s="171"/>
      <c r="F15" s="171"/>
      <c r="G15" s="171"/>
      <c r="H15" s="171"/>
    </row>
    <row r="16" spans="1:8" ht="25.5" customHeight="1" x14ac:dyDescent="0.15">
      <c r="A16" s="345" t="s">
        <v>8</v>
      </c>
      <c r="B16" s="345"/>
      <c r="C16" s="345"/>
      <c r="D16" s="345"/>
      <c r="E16" s="345"/>
      <c r="F16" s="345"/>
      <c r="G16" s="345"/>
      <c r="H16" s="345"/>
    </row>
    <row r="17" spans="1:8" ht="30" customHeight="1" x14ac:dyDescent="0.15">
      <c r="A17" s="345" t="s">
        <v>781</v>
      </c>
      <c r="B17" s="345"/>
      <c r="C17" s="345"/>
      <c r="D17" s="345"/>
      <c r="E17" s="345"/>
      <c r="F17" s="345"/>
      <c r="G17" s="345"/>
      <c r="H17" s="345"/>
    </row>
    <row r="18" spans="1:8" ht="25.5" customHeight="1" x14ac:dyDescent="0.15">
      <c r="A18" s="345" t="s">
        <v>761</v>
      </c>
      <c r="B18" s="345"/>
      <c r="C18" s="345"/>
      <c r="D18" s="345"/>
      <c r="E18" s="345"/>
      <c r="F18" s="345"/>
      <c r="G18" s="345"/>
      <c r="H18" s="345"/>
    </row>
    <row r="19" spans="1:8" ht="15" customHeight="1" x14ac:dyDescent="0.2">
      <c r="A19" s="173"/>
      <c r="B19" s="173"/>
      <c r="C19" s="173"/>
      <c r="D19" s="173"/>
      <c r="E19" s="173"/>
      <c r="F19" s="173"/>
    </row>
    <row r="20" spans="1:8" ht="15" customHeight="1" x14ac:dyDescent="0.2">
      <c r="A20" s="174"/>
      <c r="B20" s="173"/>
      <c r="C20" s="173"/>
      <c r="D20" s="173"/>
      <c r="E20" s="173"/>
      <c r="F20" s="173"/>
    </row>
    <row r="21" spans="1:8" ht="31" customHeight="1" x14ac:dyDescent="0.2">
      <c r="A21" s="349" t="s">
        <v>9</v>
      </c>
      <c r="B21" s="349"/>
      <c r="C21" s="349"/>
      <c r="D21" s="349"/>
      <c r="E21" s="165"/>
      <c r="F21" s="165"/>
      <c r="G21" s="168"/>
    </row>
    <row r="22" spans="1:8" ht="26" customHeight="1" x14ac:dyDescent="0.15">
      <c r="A22" s="345" t="s">
        <v>777</v>
      </c>
      <c r="B22" s="345"/>
      <c r="C22" s="345"/>
      <c r="D22" s="345"/>
      <c r="E22" s="175"/>
      <c r="F22" s="175"/>
      <c r="G22" s="176"/>
    </row>
    <row r="23" spans="1:8" ht="55" customHeight="1" x14ac:dyDescent="0.15">
      <c r="A23" s="345" t="s">
        <v>819</v>
      </c>
      <c r="B23" s="345"/>
      <c r="C23" s="345"/>
      <c r="D23" s="345"/>
      <c r="E23" s="345"/>
      <c r="F23" s="345"/>
    </row>
    <row r="24" spans="1:8" ht="28" customHeight="1" x14ac:dyDescent="0.15">
      <c r="A24" s="345"/>
      <c r="B24" s="345"/>
      <c r="C24" s="345"/>
      <c r="D24" s="345"/>
      <c r="E24" s="345"/>
      <c r="F24" s="345"/>
    </row>
    <row r="25" spans="1:8" ht="15" customHeight="1" x14ac:dyDescent="0.2">
      <c r="A25" s="171" t="s">
        <v>10</v>
      </c>
      <c r="B25" s="173"/>
      <c r="C25" s="173"/>
      <c r="D25" s="173"/>
      <c r="E25" s="173"/>
      <c r="F25" s="173"/>
    </row>
    <row r="26" spans="1:8" ht="15" customHeight="1" x14ac:dyDescent="0.2">
      <c r="A26" s="165" t="s">
        <v>780</v>
      </c>
      <c r="B26" s="173"/>
      <c r="C26" s="173"/>
      <c r="D26" s="173"/>
      <c r="E26" s="173"/>
      <c r="F26" s="173"/>
    </row>
    <row r="27" spans="1:8" ht="25.5" customHeight="1" x14ac:dyDescent="0.2">
      <c r="A27" s="177" t="s">
        <v>778</v>
      </c>
      <c r="B27" s="173"/>
      <c r="C27" s="173"/>
      <c r="D27" s="173"/>
      <c r="E27" s="173"/>
      <c r="F27" s="173"/>
    </row>
    <row r="28" spans="1:8" ht="15" customHeight="1" x14ac:dyDescent="0.2">
      <c r="A28" s="178" t="s">
        <v>779</v>
      </c>
      <c r="B28" s="173"/>
      <c r="C28" s="173"/>
      <c r="D28" s="173"/>
      <c r="E28" s="173"/>
      <c r="F28" s="173"/>
    </row>
    <row r="29" spans="1:8" ht="15" customHeight="1" x14ac:dyDescent="0.2">
      <c r="A29" s="165"/>
      <c r="B29" s="173"/>
      <c r="C29" s="173"/>
      <c r="D29" s="173"/>
      <c r="E29" s="173"/>
      <c r="F29" s="173"/>
    </row>
    <row r="30" spans="1:8" ht="15" customHeight="1" x14ac:dyDescent="0.2">
      <c r="A30" s="348" t="s">
        <v>787</v>
      </c>
      <c r="B30" s="348"/>
      <c r="C30" s="348"/>
      <c r="D30" s="173"/>
      <c r="E30" s="173"/>
      <c r="F30" s="173"/>
    </row>
    <row r="31" spans="1:8" ht="15" customHeight="1" x14ac:dyDescent="0.2">
      <c r="A31" s="173" t="s">
        <v>978</v>
      </c>
      <c r="B31" s="173"/>
      <c r="C31" s="173"/>
      <c r="D31" s="173"/>
      <c r="E31" s="173"/>
      <c r="F31" s="173"/>
    </row>
    <row r="32" spans="1:8" ht="15" customHeight="1" x14ac:dyDescent="0.2">
      <c r="A32" s="173"/>
      <c r="B32" s="173"/>
      <c r="C32" s="173"/>
      <c r="D32" s="173"/>
      <c r="E32" s="173"/>
      <c r="F32" s="173"/>
    </row>
    <row r="33" spans="1:6" ht="15" customHeight="1" x14ac:dyDescent="0.2">
      <c r="A33" s="173"/>
      <c r="B33" s="173"/>
      <c r="C33" s="173"/>
      <c r="D33" s="173"/>
      <c r="E33" s="173"/>
      <c r="F33" s="173"/>
    </row>
    <row r="34" spans="1:6" ht="15" customHeight="1" x14ac:dyDescent="0.2">
      <c r="A34" s="173"/>
      <c r="B34" s="173"/>
      <c r="C34" s="173"/>
      <c r="D34" s="173"/>
      <c r="E34" s="173"/>
      <c r="F34" s="173"/>
    </row>
    <row r="35" spans="1:6" ht="15" customHeight="1" x14ac:dyDescent="0.2">
      <c r="A35" s="173"/>
      <c r="B35" s="173"/>
      <c r="C35" s="173"/>
      <c r="D35" s="173"/>
      <c r="E35" s="173"/>
      <c r="F35" s="173"/>
    </row>
    <row r="36" spans="1:6" ht="15" customHeight="1" x14ac:dyDescent="0.2">
      <c r="A36" s="173"/>
      <c r="B36" s="173"/>
      <c r="C36" s="173"/>
      <c r="D36" s="173"/>
      <c r="E36" s="173"/>
      <c r="F36" s="173"/>
    </row>
    <row r="37" spans="1:6" ht="15" customHeight="1" x14ac:dyDescent="0.15"/>
  </sheetData>
  <mergeCells count="19">
    <mergeCell ref="A30:C30"/>
    <mergeCell ref="A18:H18"/>
    <mergeCell ref="A17:H17"/>
    <mergeCell ref="A10:H10"/>
    <mergeCell ref="A11:H11"/>
    <mergeCell ref="A12:H12"/>
    <mergeCell ref="A13:H13"/>
    <mergeCell ref="A22:D22"/>
    <mergeCell ref="A21:D21"/>
    <mergeCell ref="A14:H14"/>
    <mergeCell ref="A16:H16"/>
    <mergeCell ref="A1:G1"/>
    <mergeCell ref="A24:F24"/>
    <mergeCell ref="A23:F23"/>
    <mergeCell ref="A3:G3"/>
    <mergeCell ref="A4:G4"/>
    <mergeCell ref="A5:G5"/>
    <mergeCell ref="A6:G6"/>
    <mergeCell ref="A8:G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zoomScaleNormal="100" zoomScalePageLayoutView="60" workbookViewId="0">
      <selection activeCell="A2" sqref="A2"/>
    </sheetView>
  </sheetViews>
  <sheetFormatPr baseColWidth="10" defaultColWidth="8.6640625" defaultRowHeight="14" x14ac:dyDescent="0.15"/>
  <cols>
    <col min="1" max="1" width="40" style="167" customWidth="1"/>
    <col min="2" max="2" width="22" style="167" customWidth="1"/>
    <col min="3" max="3" width="14" style="167" customWidth="1"/>
    <col min="4" max="4" width="68" style="167" customWidth="1"/>
    <col min="5" max="5" width="55" style="167" customWidth="1"/>
    <col min="6" max="16384" width="8.6640625" style="167"/>
  </cols>
  <sheetData>
    <row r="1" spans="1:7" ht="21.75" customHeight="1" x14ac:dyDescent="0.15">
      <c r="A1" s="166" t="s">
        <v>976</v>
      </c>
      <c r="B1" s="179"/>
      <c r="C1" s="179"/>
      <c r="D1" s="179"/>
    </row>
    <row r="3" spans="1:7" ht="19.5" customHeight="1" x14ac:dyDescent="0.15">
      <c r="A3" s="170" t="s">
        <v>11</v>
      </c>
      <c r="B3" s="180"/>
      <c r="C3" s="180"/>
      <c r="D3" s="180"/>
    </row>
    <row r="4" spans="1:7" ht="16.5" customHeight="1" x14ac:dyDescent="0.15">
      <c r="A4" s="350" t="s">
        <v>826</v>
      </c>
      <c r="B4" s="350"/>
      <c r="C4" s="350"/>
      <c r="D4" s="350"/>
    </row>
    <row r="6" spans="1:7" ht="19.5" customHeight="1" x14ac:dyDescent="0.15">
      <c r="A6" s="170" t="s">
        <v>12</v>
      </c>
      <c r="B6" s="170"/>
      <c r="C6" s="170"/>
      <c r="D6" s="170"/>
      <c r="E6" s="168"/>
      <c r="F6" s="168"/>
    </row>
    <row r="7" spans="1:7" ht="15.75" customHeight="1" x14ac:dyDescent="0.15">
      <c r="A7" s="181" t="s">
        <v>13</v>
      </c>
      <c r="B7" s="181" t="s">
        <v>14</v>
      </c>
      <c r="C7" s="181" t="s">
        <v>15</v>
      </c>
      <c r="D7" s="182" t="s">
        <v>16</v>
      </c>
      <c r="E7" s="182" t="s">
        <v>17</v>
      </c>
      <c r="F7" s="168"/>
    </row>
    <row r="8" spans="1:7" ht="117" customHeight="1" x14ac:dyDescent="0.15">
      <c r="A8" s="183" t="s">
        <v>18</v>
      </c>
      <c r="B8" s="184">
        <v>1730000000000</v>
      </c>
      <c r="C8" s="185" t="s">
        <v>19</v>
      </c>
      <c r="D8" s="208" t="s">
        <v>20</v>
      </c>
      <c r="E8" s="208" t="s">
        <v>788</v>
      </c>
      <c r="F8" s="168"/>
    </row>
    <row r="9" spans="1:7" ht="66" customHeight="1" x14ac:dyDescent="0.15">
      <c r="A9" s="183" t="s">
        <v>21</v>
      </c>
      <c r="B9" s="187">
        <v>0.71</v>
      </c>
      <c r="C9" s="185"/>
      <c r="D9" s="208" t="s">
        <v>22</v>
      </c>
      <c r="E9" s="208" t="s">
        <v>788</v>
      </c>
      <c r="F9" s="168"/>
    </row>
    <row r="10" spans="1:7" ht="66" customHeight="1" x14ac:dyDescent="0.15">
      <c r="A10" s="183" t="s">
        <v>23</v>
      </c>
      <c r="B10" s="188">
        <v>150</v>
      </c>
      <c r="C10" s="185" t="s">
        <v>24</v>
      </c>
      <c r="D10" s="208" t="s">
        <v>880</v>
      </c>
      <c r="E10" s="208" t="s">
        <v>789</v>
      </c>
      <c r="F10" s="168"/>
    </row>
    <row r="11" spans="1:7" ht="41.5" customHeight="1" x14ac:dyDescent="0.15">
      <c r="A11" s="183" t="s">
        <v>25</v>
      </c>
      <c r="B11" s="189">
        <f>1000/B12</f>
        <v>2.6198344541875775E+20</v>
      </c>
      <c r="C11" s="185" t="s">
        <v>26</v>
      </c>
      <c r="D11" s="208" t="s">
        <v>27</v>
      </c>
      <c r="E11" s="168"/>
      <c r="F11" s="168"/>
    </row>
    <row r="12" spans="1:7" ht="27.75" customHeight="1" x14ac:dyDescent="0.15">
      <c r="A12" s="183" t="s">
        <v>28</v>
      </c>
      <c r="B12" s="190">
        <f>PI()/6*(B10*10^-9)^3*2160</f>
        <v>3.8170350741115989E-18</v>
      </c>
      <c r="C12" s="185" t="s">
        <v>29</v>
      </c>
      <c r="D12" s="208" t="s">
        <v>30</v>
      </c>
      <c r="E12" s="168"/>
      <c r="F12" s="168"/>
    </row>
    <row r="13" spans="1:7" ht="26" x14ac:dyDescent="0.15">
      <c r="A13" s="183" t="s">
        <v>31</v>
      </c>
      <c r="B13" s="195">
        <f>B8*B9*B12*86400*1000</f>
        <v>405.08330528430236</v>
      </c>
      <c r="C13" s="185" t="s">
        <v>32</v>
      </c>
      <c r="D13" s="208" t="s">
        <v>825</v>
      </c>
      <c r="E13" s="168"/>
      <c r="F13" s="168"/>
    </row>
    <row r="14" spans="1:7" ht="15" x14ac:dyDescent="0.15">
      <c r="A14" s="331" t="s">
        <v>31</v>
      </c>
      <c r="B14" s="333">
        <f>B13/1000000</f>
        <v>4.0508330528430238E-4</v>
      </c>
      <c r="C14" s="332" t="s">
        <v>824</v>
      </c>
      <c r="D14" s="201"/>
      <c r="E14" s="168"/>
      <c r="F14" s="168"/>
    </row>
    <row r="15" spans="1:7" ht="15" customHeight="1" x14ac:dyDescent="0.15">
      <c r="A15" s="168"/>
      <c r="B15" s="192"/>
      <c r="C15" s="168"/>
      <c r="D15" s="193"/>
      <c r="E15" s="168"/>
      <c r="F15" s="168"/>
    </row>
    <row r="16" spans="1:7" ht="19.5" customHeight="1" x14ac:dyDescent="0.15">
      <c r="A16" s="351" t="s">
        <v>33</v>
      </c>
      <c r="B16" s="351"/>
      <c r="C16" s="351"/>
      <c r="D16" s="351"/>
      <c r="E16" s="168"/>
      <c r="F16" s="168"/>
      <c r="G16" s="170" t="s">
        <v>881</v>
      </c>
    </row>
    <row r="17" spans="1:9" ht="66" customHeight="1" x14ac:dyDescent="0.15">
      <c r="A17" s="183" t="s">
        <v>34</v>
      </c>
      <c r="B17" s="194">
        <f>CHOOSE($H$17,$H$18,$H$19)</f>
        <v>512</v>
      </c>
      <c r="C17" s="185" t="s">
        <v>35</v>
      </c>
      <c r="D17" s="208" t="s">
        <v>882</v>
      </c>
      <c r="E17" s="208" t="s">
        <v>790</v>
      </c>
      <c r="F17" s="168"/>
      <c r="G17" s="183" t="s">
        <v>883</v>
      </c>
      <c r="H17" s="194">
        <v>1</v>
      </c>
      <c r="I17" s="185" t="s">
        <v>884</v>
      </c>
    </row>
    <row r="18" spans="1:9" ht="21" customHeight="1" x14ac:dyDescent="0.15">
      <c r="A18" s="183" t="s">
        <v>821</v>
      </c>
      <c r="B18" s="334">
        <f>B17/1000</f>
        <v>0.51200000000000001</v>
      </c>
      <c r="C18" s="185" t="s">
        <v>823</v>
      </c>
      <c r="D18" s="208"/>
      <c r="E18" s="201"/>
      <c r="F18" s="168"/>
      <c r="G18" s="183" t="s">
        <v>885</v>
      </c>
      <c r="H18" s="194">
        <v>512</v>
      </c>
      <c r="I18" s="185" t="s">
        <v>35</v>
      </c>
    </row>
    <row r="19" spans="1:9" ht="21" customHeight="1" x14ac:dyDescent="0.15">
      <c r="A19" s="183" t="s">
        <v>822</v>
      </c>
      <c r="B19" s="334">
        <f>B18*24</f>
        <v>12.288</v>
      </c>
      <c r="C19" s="185" t="s">
        <v>823</v>
      </c>
      <c r="D19" s="208"/>
      <c r="E19" s="201"/>
      <c r="F19" s="168"/>
      <c r="G19" s="183" t="s">
        <v>886</v>
      </c>
      <c r="H19" s="194">
        <v>51.2</v>
      </c>
      <c r="I19" s="185" t="s">
        <v>35</v>
      </c>
    </row>
    <row r="20" spans="1:9" ht="150" x14ac:dyDescent="0.15">
      <c r="A20" s="183" t="s">
        <v>36</v>
      </c>
      <c r="B20" s="195">
        <f>B19/B14</f>
        <v>30334.501174704867</v>
      </c>
      <c r="C20" s="185" t="s">
        <v>37</v>
      </c>
      <c r="D20" s="208" t="s">
        <v>38</v>
      </c>
      <c r="E20" s="168"/>
      <c r="F20" s="168"/>
      <c r="G20" s="183" t="s">
        <v>887</v>
      </c>
    </row>
    <row r="21" spans="1:9" ht="15" customHeight="1" x14ac:dyDescent="0.15">
      <c r="A21" s="196"/>
      <c r="B21" s="197"/>
      <c r="C21" s="196"/>
      <c r="D21" s="198"/>
      <c r="E21" s="168"/>
      <c r="F21" s="168"/>
    </row>
    <row r="22" spans="1:9" ht="19.5" customHeight="1" x14ac:dyDescent="0.15">
      <c r="A22" s="352" t="s">
        <v>39</v>
      </c>
      <c r="B22" s="352"/>
      <c r="C22" s="352"/>
      <c r="D22" s="352"/>
      <c r="E22" s="168"/>
      <c r="F22" s="168"/>
    </row>
    <row r="23" spans="1:9" ht="79" customHeight="1" x14ac:dyDescent="0.15">
      <c r="A23" s="183" t="s">
        <v>40</v>
      </c>
      <c r="B23" s="199">
        <v>0.41</v>
      </c>
      <c r="C23" s="185" t="s">
        <v>41</v>
      </c>
      <c r="D23" s="208" t="s">
        <v>42</v>
      </c>
      <c r="E23" s="208" t="s">
        <v>791</v>
      </c>
      <c r="F23" s="168"/>
    </row>
    <row r="24" spans="1:9" ht="26" x14ac:dyDescent="0.15">
      <c r="A24" s="183" t="s">
        <v>43</v>
      </c>
      <c r="B24" s="200">
        <f>B23*86.4</f>
        <v>35.423999999999999</v>
      </c>
      <c r="C24" s="185" t="s">
        <v>44</v>
      </c>
      <c r="D24" s="208" t="s">
        <v>45</v>
      </c>
      <c r="E24" s="168"/>
      <c r="F24" s="168"/>
    </row>
    <row r="25" spans="1:9" ht="27.75" customHeight="1" x14ac:dyDescent="0.15">
      <c r="A25" s="183" t="s">
        <v>46</v>
      </c>
      <c r="B25" s="191">
        <f>B24/(B13/1000000)/1000</f>
        <v>87.448679167703872</v>
      </c>
      <c r="C25" s="185" t="s">
        <v>47</v>
      </c>
      <c r="D25" s="208" t="s">
        <v>820</v>
      </c>
      <c r="E25" s="168"/>
      <c r="F25" s="168"/>
    </row>
    <row r="26" spans="1:9" ht="39" x14ac:dyDescent="0.15">
      <c r="A26" s="183" t="s">
        <v>888</v>
      </c>
      <c r="B26" s="199">
        <v>0.6</v>
      </c>
      <c r="C26" s="185" t="s">
        <v>889</v>
      </c>
      <c r="D26" s="208" t="s">
        <v>890</v>
      </c>
      <c r="E26" s="168"/>
      <c r="F26" s="168"/>
    </row>
    <row r="27" spans="1:9" ht="19.5" customHeight="1" x14ac:dyDescent="0.15">
      <c r="A27" s="170" t="s">
        <v>48</v>
      </c>
      <c r="B27" s="180"/>
      <c r="C27" s="180"/>
      <c r="D27" s="180"/>
    </row>
    <row r="29" spans="1:9" ht="30" customHeight="1" x14ac:dyDescent="0.15">
      <c r="B29" s="202" t="s">
        <v>49</v>
      </c>
      <c r="D29" s="203"/>
    </row>
    <row r="30" spans="1:9" ht="15" customHeight="1" x14ac:dyDescent="0.15">
      <c r="B30" s="204" t="s">
        <v>50</v>
      </c>
    </row>
    <row r="31" spans="1:9" ht="30" customHeight="1" x14ac:dyDescent="0.15">
      <c r="B31" s="202" t="s">
        <v>51</v>
      </c>
    </row>
    <row r="32" spans="1:9" ht="15" customHeight="1" x14ac:dyDescent="0.15">
      <c r="B32" s="204" t="s">
        <v>50</v>
      </c>
      <c r="D32" s="203"/>
    </row>
    <row r="33" spans="2:4" ht="30" customHeight="1" x14ac:dyDescent="0.15">
      <c r="B33" s="202" t="s">
        <v>52</v>
      </c>
    </row>
    <row r="34" spans="2:4" ht="15" customHeight="1" x14ac:dyDescent="0.15">
      <c r="B34" s="204" t="s">
        <v>50</v>
      </c>
    </row>
    <row r="35" spans="2:4" ht="19.5" customHeight="1" x14ac:dyDescent="0.15">
      <c r="B35" s="202" t="s">
        <v>53</v>
      </c>
      <c r="D35" s="203"/>
    </row>
    <row r="36" spans="2:4" ht="15" customHeight="1" x14ac:dyDescent="0.15">
      <c r="B36" s="204" t="s">
        <v>50</v>
      </c>
    </row>
    <row r="37" spans="2:4" ht="30" customHeight="1" x14ac:dyDescent="0.15">
      <c r="B37" s="202" t="s">
        <v>54</v>
      </c>
    </row>
    <row r="38" spans="2:4" ht="15" customHeight="1" x14ac:dyDescent="0.15">
      <c r="B38" s="204" t="s">
        <v>50</v>
      </c>
      <c r="D38" s="203"/>
    </row>
    <row r="39" spans="2:4" ht="19.5" customHeight="1" x14ac:dyDescent="0.15">
      <c r="B39" s="202" t="s">
        <v>55</v>
      </c>
    </row>
    <row r="40" spans="2:4" ht="15" customHeight="1" x14ac:dyDescent="0.15">
      <c r="B40" s="204" t="s">
        <v>50</v>
      </c>
    </row>
    <row r="41" spans="2:4" ht="30" customHeight="1" x14ac:dyDescent="0.15">
      <c r="B41" s="202" t="s">
        <v>56</v>
      </c>
      <c r="D41" s="203"/>
    </row>
    <row r="42" spans="2:4" ht="15" customHeight="1" x14ac:dyDescent="0.15"/>
    <row r="43" spans="2:4" ht="15" customHeight="1" x14ac:dyDescent="0.15">
      <c r="B43" s="204" t="s">
        <v>50</v>
      </c>
    </row>
    <row r="44" spans="2:4" ht="30" customHeight="1" x14ac:dyDescent="0.15">
      <c r="B44" s="205" t="s">
        <v>57</v>
      </c>
      <c r="D44" s="203"/>
    </row>
    <row r="45" spans="2:4" ht="15" customHeight="1" x14ac:dyDescent="0.15">
      <c r="B45" s="204" t="s">
        <v>50</v>
      </c>
    </row>
    <row r="46" spans="2:4" ht="30" customHeight="1" x14ac:dyDescent="0.15">
      <c r="B46" s="205" t="s">
        <v>58</v>
      </c>
    </row>
    <row r="47" spans="2:4" ht="15" customHeight="1" x14ac:dyDescent="0.15">
      <c r="B47" s="204" t="s">
        <v>50</v>
      </c>
      <c r="D47" s="203"/>
    </row>
    <row r="48" spans="2:4" ht="30" customHeight="1" x14ac:dyDescent="0.15">
      <c r="B48" s="205" t="s">
        <v>59</v>
      </c>
    </row>
    <row r="49" spans="1:6" ht="15" customHeight="1" x14ac:dyDescent="0.15">
      <c r="A49" s="201"/>
      <c r="B49" s="204" t="s">
        <v>50</v>
      </c>
    </row>
    <row r="50" spans="1:6" ht="30" customHeight="1" x14ac:dyDescent="0.15">
      <c r="B50" s="205" t="s">
        <v>60</v>
      </c>
    </row>
    <row r="51" spans="1:6" ht="15" customHeight="1" x14ac:dyDescent="0.15">
      <c r="A51" s="168"/>
      <c r="B51" s="204" t="s">
        <v>50</v>
      </c>
      <c r="C51" s="168"/>
      <c r="D51" s="168"/>
      <c r="E51" s="168"/>
      <c r="F51" s="168"/>
    </row>
    <row r="52" spans="1:6" ht="30" customHeight="1" x14ac:dyDescent="0.15">
      <c r="A52" s="168"/>
      <c r="B52" s="205" t="s">
        <v>61</v>
      </c>
      <c r="C52" s="168"/>
      <c r="D52" s="168"/>
      <c r="E52" s="168"/>
      <c r="F52" s="168"/>
    </row>
    <row r="53" spans="1:6" ht="15" customHeight="1" x14ac:dyDescent="0.15">
      <c r="A53" s="168"/>
      <c r="B53" s="206"/>
      <c r="C53" s="168"/>
      <c r="D53" s="168"/>
      <c r="E53" s="168"/>
      <c r="F53" s="168"/>
    </row>
    <row r="54" spans="1:6" ht="15" customHeight="1" x14ac:dyDescent="0.15">
      <c r="A54" s="168"/>
      <c r="B54" s="207"/>
      <c r="C54" s="168"/>
      <c r="D54" s="168"/>
      <c r="E54" s="168"/>
      <c r="F54" s="168"/>
    </row>
  </sheetData>
  <mergeCells count="3">
    <mergeCell ref="A4:D4"/>
    <mergeCell ref="A16:D16"/>
    <mergeCell ref="A22:D22"/>
  </mergeCells>
  <dataValidations count="1">
    <dataValidation type="list" allowBlank="1" showInputMessage="1" showErrorMessage="1" sqref="H17" xr:uid="{00000000-0002-0000-0100-000000000000}">
      <formula1>"1,2"</formula1>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8"/>
  <sheetViews>
    <sheetView zoomScaleNormal="100" zoomScalePageLayoutView="60" workbookViewId="0">
      <selection activeCell="A2" sqref="A2:E2"/>
    </sheetView>
  </sheetViews>
  <sheetFormatPr baseColWidth="10" defaultColWidth="8.6640625" defaultRowHeight="15" x14ac:dyDescent="0.2"/>
  <cols>
    <col min="1" max="1" width="40" customWidth="1"/>
    <col min="2" max="2" width="24.33203125" customWidth="1"/>
    <col min="3" max="3" width="14" customWidth="1"/>
    <col min="4" max="4" width="13" customWidth="1"/>
    <col min="5" max="5" width="69.5" customWidth="1"/>
    <col min="6" max="6" width="55" customWidth="1"/>
  </cols>
  <sheetData>
    <row r="1" spans="1:7" ht="17.25" customHeight="1" x14ac:dyDescent="0.2">
      <c r="A1" s="4" t="s">
        <v>977</v>
      </c>
      <c r="B1" s="209"/>
      <c r="C1" s="209"/>
      <c r="D1" s="209"/>
      <c r="E1" s="209"/>
    </row>
    <row r="2" spans="1:7" ht="18" customHeight="1" x14ac:dyDescent="0.2">
      <c r="A2" s="356" t="s">
        <v>62</v>
      </c>
      <c r="B2" s="356"/>
      <c r="C2" s="356"/>
      <c r="D2" s="356"/>
      <c r="E2" s="356"/>
    </row>
    <row r="3" spans="1:7" ht="15" customHeight="1" x14ac:dyDescent="0.2">
      <c r="A3" s="357"/>
      <c r="B3" s="357"/>
      <c r="C3" s="357"/>
      <c r="D3" s="357"/>
      <c r="E3" s="357"/>
    </row>
    <row r="4" spans="1:7" ht="15" customHeight="1" x14ac:dyDescent="0.2">
      <c r="A4" s="8"/>
      <c r="B4" s="8" t="s">
        <v>14</v>
      </c>
      <c r="C4" s="8" t="s">
        <v>15</v>
      </c>
      <c r="D4" s="8"/>
      <c r="E4" s="8" t="s">
        <v>16</v>
      </c>
      <c r="F4" s="8" t="s">
        <v>17</v>
      </c>
    </row>
    <row r="5" spans="1:7" ht="39" customHeight="1" x14ac:dyDescent="0.2">
      <c r="A5" s="9" t="s">
        <v>63</v>
      </c>
      <c r="B5" s="20">
        <v>0.9</v>
      </c>
      <c r="C5" s="10" t="s">
        <v>64</v>
      </c>
      <c r="D5" s="21"/>
      <c r="E5" s="2" t="s">
        <v>65</v>
      </c>
      <c r="F5" s="2" t="s">
        <v>66</v>
      </c>
    </row>
    <row r="6" spans="1:7" ht="16.5" customHeight="1" x14ac:dyDescent="0.2">
      <c r="A6" s="9" t="s">
        <v>67</v>
      </c>
      <c r="B6" s="22">
        <v>15</v>
      </c>
      <c r="C6" s="10" t="s">
        <v>68</v>
      </c>
      <c r="D6" s="21"/>
      <c r="E6" s="2" t="s">
        <v>69</v>
      </c>
      <c r="F6" s="2" t="s">
        <v>70</v>
      </c>
    </row>
    <row r="7" spans="1:7" ht="16.5" customHeight="1" x14ac:dyDescent="0.2">
      <c r="A7" s="9" t="s">
        <v>71</v>
      </c>
      <c r="B7" s="20">
        <v>0.1</v>
      </c>
      <c r="C7" s="10"/>
      <c r="D7" s="21"/>
      <c r="E7" s="2" t="s">
        <v>72</v>
      </c>
      <c r="F7" s="2" t="s">
        <v>73</v>
      </c>
    </row>
    <row r="8" spans="1:7" ht="18" customHeight="1" x14ac:dyDescent="0.2">
      <c r="A8" s="9" t="s">
        <v>891</v>
      </c>
      <c r="B8" s="20">
        <v>0.7</v>
      </c>
      <c r="C8" s="10" t="s">
        <v>892</v>
      </c>
      <c r="E8" s="2" t="s">
        <v>893</v>
      </c>
      <c r="F8" s="2" t="s">
        <v>894</v>
      </c>
    </row>
    <row r="9" spans="1:7" ht="15" customHeight="1" x14ac:dyDescent="0.2">
      <c r="A9" s="3" t="s">
        <v>74</v>
      </c>
      <c r="B9" s="1"/>
      <c r="C9" s="1"/>
      <c r="D9" s="1"/>
      <c r="E9" s="1"/>
    </row>
    <row r="10" spans="1:7" ht="34.5" customHeight="1" x14ac:dyDescent="0.2">
      <c r="A10" s="8"/>
      <c r="B10" s="8" t="s">
        <v>14</v>
      </c>
      <c r="C10" s="8" t="s">
        <v>15</v>
      </c>
      <c r="D10" s="8"/>
      <c r="E10" s="8" t="s">
        <v>16</v>
      </c>
      <c r="F10" s="8" t="s">
        <v>17</v>
      </c>
    </row>
    <row r="11" spans="1:7" ht="19.5" customHeight="1" x14ac:dyDescent="0.2">
      <c r="A11" s="9" t="s">
        <v>75</v>
      </c>
      <c r="B11" s="24">
        <f>'1. Technology Description'!B13*365*$B$5/1000000</f>
        <v>0.13306986578589333</v>
      </c>
      <c r="C11" s="10" t="s">
        <v>76</v>
      </c>
      <c r="D11" s="21"/>
      <c r="E11" s="2" t="s">
        <v>77</v>
      </c>
    </row>
    <row r="12" spans="1:7" ht="29" customHeight="1" x14ac:dyDescent="0.2">
      <c r="A12" s="9" t="s">
        <v>895</v>
      </c>
      <c r="B12" s="16">
        <f>B13*'1. Technology Description'!B8*'1. Technology Description'!B9</f>
        <v>1E+16</v>
      </c>
      <c r="C12" s="10" t="s">
        <v>19</v>
      </c>
      <c r="D12" s="21"/>
      <c r="E12" s="2" t="s">
        <v>896</v>
      </c>
    </row>
    <row r="13" spans="1:7" ht="29" customHeight="1" x14ac:dyDescent="0.2">
      <c r="A13" s="9" t="s">
        <v>78</v>
      </c>
      <c r="B13" s="16">
        <f>B14*1000/'1. Technology Description'!B17</f>
        <v>8141.3335504355618</v>
      </c>
      <c r="C13" s="10" t="s">
        <v>79</v>
      </c>
      <c r="D13" s="21"/>
      <c r="E13" s="2" t="s">
        <v>897</v>
      </c>
      <c r="F13" s="354"/>
      <c r="G13" s="354"/>
    </row>
    <row r="14" spans="1:7" ht="12.75" customHeight="1" x14ac:dyDescent="0.2">
      <c r="A14" s="9" t="s">
        <v>80</v>
      </c>
      <c r="B14" s="20">
        <v>4168.3627778230075</v>
      </c>
      <c r="C14" s="10" t="s">
        <v>117</v>
      </c>
      <c r="D14" s="21"/>
      <c r="E14" s="25" t="s">
        <v>898</v>
      </c>
      <c r="F14" t="s">
        <v>899</v>
      </c>
    </row>
    <row r="15" spans="1:7" ht="15" customHeight="1" x14ac:dyDescent="0.2">
      <c r="A15" s="9" t="s">
        <v>81</v>
      </c>
      <c r="B15" s="19">
        <f>B13*B11</f>
        <v>1083.3661628746506</v>
      </c>
      <c r="C15" s="10" t="s">
        <v>76</v>
      </c>
      <c r="D15" s="21"/>
      <c r="E15" s="2" t="s">
        <v>82</v>
      </c>
    </row>
    <row r="16" spans="1:7" ht="16.5" customHeight="1" x14ac:dyDescent="0.2">
      <c r="E16" s="210"/>
    </row>
    <row r="17" spans="1:6" ht="16.5" customHeight="1" x14ac:dyDescent="0.2">
      <c r="A17" s="355" t="s">
        <v>83</v>
      </c>
      <c r="B17" s="355"/>
      <c r="C17" s="355"/>
      <c r="D17" s="355"/>
      <c r="E17" s="1"/>
    </row>
    <row r="18" spans="1:6" ht="16.5" customHeight="1" x14ac:dyDescent="0.2">
      <c r="A18" s="6" t="s">
        <v>84</v>
      </c>
      <c r="B18" s="26"/>
      <c r="C18" s="26"/>
      <c r="D18" s="26"/>
      <c r="E18" s="26"/>
    </row>
    <row r="19" spans="1:6" ht="16.5" customHeight="1" x14ac:dyDescent="0.2">
      <c r="A19" s="8"/>
      <c r="B19" s="8" t="s">
        <v>85</v>
      </c>
      <c r="C19" s="8" t="s">
        <v>15</v>
      </c>
      <c r="D19" s="8" t="s">
        <v>86</v>
      </c>
      <c r="E19" s="8" t="s">
        <v>16</v>
      </c>
      <c r="F19" s="8" t="s">
        <v>17</v>
      </c>
    </row>
    <row r="20" spans="1:6" ht="16.5" customHeight="1" x14ac:dyDescent="0.2">
      <c r="A20" s="9" t="s">
        <v>87</v>
      </c>
      <c r="B20" s="16">
        <f>'1. Technology Description'!B25*1000</f>
        <v>87448.679167703871</v>
      </c>
      <c r="C20" s="10" t="s">
        <v>88</v>
      </c>
      <c r="D20" s="28">
        <v>0</v>
      </c>
      <c r="E20" s="2" t="s">
        <v>89</v>
      </c>
      <c r="F20" s="2" t="s">
        <v>90</v>
      </c>
    </row>
    <row r="21" spans="1:6" ht="15" customHeight="1" x14ac:dyDescent="0.2">
      <c r="A21" s="5"/>
      <c r="B21" s="5"/>
      <c r="C21" s="5"/>
      <c r="D21" s="5"/>
      <c r="E21" s="5"/>
    </row>
    <row r="22" spans="1:6" ht="27.75" customHeight="1" x14ac:dyDescent="0.2">
      <c r="A22" s="6" t="s">
        <v>91</v>
      </c>
      <c r="B22" s="26"/>
      <c r="C22" s="26"/>
      <c r="D22" s="26"/>
      <c r="E22" s="26"/>
    </row>
    <row r="23" spans="1:6" ht="18" customHeight="1" x14ac:dyDescent="0.2">
      <c r="A23" s="8"/>
      <c r="B23" s="8" t="s">
        <v>85</v>
      </c>
      <c r="C23" s="8" t="s">
        <v>15</v>
      </c>
      <c r="D23" s="8" t="s">
        <v>86</v>
      </c>
      <c r="E23" s="27"/>
    </row>
    <row r="24" spans="1:6" ht="29" customHeight="1" x14ac:dyDescent="0.2">
      <c r="A24" s="9" t="s">
        <v>92</v>
      </c>
      <c r="B24" s="16">
        <f>'1. Technology Description'!B20</f>
        <v>30334.501174704867</v>
      </c>
      <c r="C24" s="10" t="s">
        <v>37</v>
      </c>
      <c r="D24" s="28">
        <v>0.3</v>
      </c>
      <c r="E24" s="2" t="s">
        <v>93</v>
      </c>
      <c r="F24" s="2" t="s">
        <v>94</v>
      </c>
    </row>
    <row r="25" spans="1:6" ht="66.5" customHeight="1" x14ac:dyDescent="0.2">
      <c r="A25" s="9" t="s">
        <v>95</v>
      </c>
      <c r="B25" s="16">
        <v>16000</v>
      </c>
      <c r="C25" s="10" t="s">
        <v>44</v>
      </c>
      <c r="D25" s="29">
        <v>0.9</v>
      </c>
      <c r="E25" s="2" t="s">
        <v>96</v>
      </c>
      <c r="F25" s="2" t="s">
        <v>752</v>
      </c>
    </row>
    <row r="26" spans="1:6" ht="15" customHeight="1" x14ac:dyDescent="0.2">
      <c r="A26" s="9" t="s">
        <v>97</v>
      </c>
      <c r="B26" s="16">
        <v>2700</v>
      </c>
      <c r="C26" s="10" t="s">
        <v>44</v>
      </c>
      <c r="D26" s="29">
        <f>D25</f>
        <v>0.9</v>
      </c>
      <c r="E26" s="30" t="s">
        <v>98</v>
      </c>
    </row>
    <row r="27" spans="1:6" ht="15" customHeight="1" x14ac:dyDescent="0.2">
      <c r="A27" s="9" t="s">
        <v>99</v>
      </c>
      <c r="B27" s="16">
        <v>1000000</v>
      </c>
      <c r="C27" s="10" t="s">
        <v>100</v>
      </c>
      <c r="D27" s="21"/>
      <c r="E27" s="30"/>
    </row>
    <row r="28" spans="1:6" ht="29" customHeight="1" x14ac:dyDescent="0.2">
      <c r="A28" s="9" t="s">
        <v>101</v>
      </c>
      <c r="B28" s="16">
        <f>'1. Technology Description'!B25*'1. Technology Description'!B26</f>
        <v>52.469207500622325</v>
      </c>
      <c r="C28" s="10" t="s">
        <v>37</v>
      </c>
      <c r="D28" s="29">
        <v>0.3</v>
      </c>
      <c r="E28" s="2" t="s">
        <v>102</v>
      </c>
      <c r="F28" s="2" t="s">
        <v>103</v>
      </c>
    </row>
    <row r="29" spans="1:6" ht="18" customHeight="1" x14ac:dyDescent="0.2">
      <c r="A29" s="6" t="s">
        <v>104</v>
      </c>
      <c r="B29" s="26"/>
      <c r="C29" s="26"/>
      <c r="D29" s="26"/>
      <c r="E29" s="23"/>
    </row>
    <row r="30" spans="1:6" ht="15" customHeight="1" x14ac:dyDescent="0.2">
      <c r="A30" s="8"/>
      <c r="B30" s="8" t="s">
        <v>85</v>
      </c>
      <c r="C30" s="8" t="s">
        <v>15</v>
      </c>
      <c r="D30" s="8" t="s">
        <v>86</v>
      </c>
      <c r="E30" s="27"/>
    </row>
    <row r="31" spans="1:6" ht="34.5" customHeight="1" x14ac:dyDescent="0.2">
      <c r="A31" s="9" t="s">
        <v>105</v>
      </c>
      <c r="B31" s="16">
        <v>6</v>
      </c>
      <c r="C31" s="10" t="s">
        <v>106</v>
      </c>
      <c r="D31" s="31">
        <v>150000</v>
      </c>
      <c r="E31" s="2" t="s">
        <v>849</v>
      </c>
      <c r="F31" s="2" t="s">
        <v>107</v>
      </c>
    </row>
    <row r="32" spans="1:6" x14ac:dyDescent="0.2">
      <c r="A32" s="5"/>
      <c r="B32" s="5"/>
      <c r="C32" s="5"/>
      <c r="D32" s="5"/>
      <c r="E32" s="5"/>
    </row>
    <row r="33" spans="1:9" x14ac:dyDescent="0.2">
      <c r="A33" s="6" t="s">
        <v>108</v>
      </c>
      <c r="B33" s="26"/>
      <c r="C33" s="26"/>
      <c r="D33" s="26"/>
      <c r="E33" s="26"/>
    </row>
    <row r="34" spans="1:9" ht="15" customHeight="1" x14ac:dyDescent="0.2">
      <c r="A34" s="5"/>
      <c r="B34" s="32" t="s">
        <v>85</v>
      </c>
      <c r="C34" s="32" t="s">
        <v>15</v>
      </c>
      <c r="D34" s="5"/>
      <c r="E34" s="5"/>
    </row>
    <row r="35" spans="1:9" ht="26" customHeight="1" x14ac:dyDescent="0.2">
      <c r="A35" s="9" t="s">
        <v>109</v>
      </c>
      <c r="B35" s="20">
        <v>7.0000000000000007E-2</v>
      </c>
      <c r="C35" s="10" t="s">
        <v>110</v>
      </c>
      <c r="D35" s="10"/>
      <c r="E35" s="2" t="s">
        <v>111</v>
      </c>
      <c r="F35" s="2" t="s">
        <v>112</v>
      </c>
    </row>
    <row r="36" spans="1:9" ht="16.5" customHeight="1" x14ac:dyDescent="0.2">
      <c r="A36" s="353"/>
      <c r="B36" s="353"/>
      <c r="C36" s="353"/>
      <c r="D36" s="353"/>
      <c r="E36" s="353"/>
    </row>
    <row r="37" spans="1:9" ht="18" customHeight="1" x14ac:dyDescent="0.2">
      <c r="A37" s="3" t="s">
        <v>113</v>
      </c>
      <c r="B37" s="1"/>
      <c r="C37" s="1"/>
      <c r="D37" s="1"/>
      <c r="E37" s="1"/>
    </row>
    <row r="38" spans="1:9" ht="15" customHeight="1" x14ac:dyDescent="0.2">
      <c r="A38" s="6" t="s">
        <v>114</v>
      </c>
      <c r="B38" s="26"/>
      <c r="C38" s="26"/>
      <c r="D38" s="26"/>
      <c r="E38" s="23"/>
    </row>
    <row r="39" spans="1:9" ht="15" customHeight="1" x14ac:dyDescent="0.2">
      <c r="A39" s="8"/>
      <c r="B39" s="8" t="s">
        <v>85</v>
      </c>
      <c r="C39" s="8" t="s">
        <v>15</v>
      </c>
      <c r="D39" s="8" t="s">
        <v>86</v>
      </c>
      <c r="E39" s="8" t="s">
        <v>16</v>
      </c>
      <c r="F39" s="8" t="s">
        <v>17</v>
      </c>
      <c r="G39" s="3" t="s">
        <v>900</v>
      </c>
    </row>
    <row r="40" spans="1:9" ht="54" customHeight="1" x14ac:dyDescent="0.2">
      <c r="A40" s="9" t="s">
        <v>115</v>
      </c>
      <c r="B40" s="16">
        <f>B13</f>
        <v>8141.3335504355618</v>
      </c>
      <c r="C40" s="10" t="s">
        <v>79</v>
      </c>
      <c r="D40" s="31">
        <f>CHOOSE($H$40,$H$41,$H$42,$H$43)</f>
        <v>100</v>
      </c>
      <c r="E40" s="33" t="s">
        <v>901</v>
      </c>
      <c r="F40" s="33" t="s">
        <v>902</v>
      </c>
      <c r="G40" s="9" t="s">
        <v>883</v>
      </c>
      <c r="H40" s="31">
        <v>2</v>
      </c>
      <c r="I40" s="10" t="s">
        <v>903</v>
      </c>
    </row>
    <row r="41" spans="1:9" ht="66.5" customHeight="1" x14ac:dyDescent="0.2">
      <c r="A41" s="9" t="s">
        <v>116</v>
      </c>
      <c r="B41" s="16">
        <f>B14</f>
        <v>4168.3627778230075</v>
      </c>
      <c r="C41" s="10" t="s">
        <v>117</v>
      </c>
      <c r="D41" s="31">
        <v>1500</v>
      </c>
      <c r="E41" s="33" t="s">
        <v>753</v>
      </c>
      <c r="F41" s="33" t="s">
        <v>754</v>
      </c>
      <c r="G41" s="9" t="s">
        <v>904</v>
      </c>
      <c r="H41" s="31">
        <v>10</v>
      </c>
      <c r="I41" s="10" t="s">
        <v>230</v>
      </c>
    </row>
    <row r="42" spans="1:9" ht="79" customHeight="1" x14ac:dyDescent="0.2">
      <c r="A42" s="9" t="s">
        <v>118</v>
      </c>
      <c r="B42" s="16">
        <v>1</v>
      </c>
      <c r="C42" s="10" t="s">
        <v>119</v>
      </c>
      <c r="D42" s="31">
        <v>25000</v>
      </c>
      <c r="E42" s="33" t="s">
        <v>755</v>
      </c>
      <c r="F42" s="33" t="s">
        <v>756</v>
      </c>
      <c r="G42" s="9" t="s">
        <v>905</v>
      </c>
      <c r="H42" s="31">
        <v>100</v>
      </c>
      <c r="I42" s="10" t="s">
        <v>230</v>
      </c>
    </row>
    <row r="43" spans="1:9" ht="12.75" customHeight="1" x14ac:dyDescent="0.2">
      <c r="A43" s="9" t="s">
        <v>120</v>
      </c>
      <c r="B43" s="16">
        <v>1</v>
      </c>
      <c r="C43" s="10" t="s">
        <v>119</v>
      </c>
      <c r="D43" s="16">
        <f>D44*0.25</f>
        <v>7500000</v>
      </c>
      <c r="E43" s="33" t="s">
        <v>121</v>
      </c>
      <c r="G43" s="9" t="s">
        <v>906</v>
      </c>
      <c r="H43" s="31">
        <v>1000</v>
      </c>
      <c r="I43" s="10" t="s">
        <v>230</v>
      </c>
    </row>
    <row r="44" spans="1:9" ht="66.5" customHeight="1" x14ac:dyDescent="0.2">
      <c r="A44" s="9" t="s">
        <v>122</v>
      </c>
      <c r="B44" s="16">
        <v>1</v>
      </c>
      <c r="C44" s="10" t="s">
        <v>123</v>
      </c>
      <c r="D44" s="31">
        <v>30000000</v>
      </c>
      <c r="E44" s="33" t="s">
        <v>124</v>
      </c>
      <c r="F44" s="33" t="s">
        <v>757</v>
      </c>
      <c r="G44" s="9" t="s">
        <v>907</v>
      </c>
    </row>
    <row r="45" spans="1:9" ht="15" customHeight="1" x14ac:dyDescent="0.2">
      <c r="A45" s="34" t="s">
        <v>125</v>
      </c>
      <c r="B45" s="35">
        <f>B40*D40+B41*D41+B42*D42+B43*D43+B44*D44</f>
        <v>44591677.521778069</v>
      </c>
      <c r="C45" s="10"/>
      <c r="D45" s="10"/>
      <c r="E45" s="9"/>
    </row>
    <row r="46" spans="1:9" ht="15" customHeight="1" x14ac:dyDescent="0.2">
      <c r="A46" s="5"/>
      <c r="B46" s="5"/>
      <c r="C46" s="5"/>
      <c r="D46" s="5"/>
      <c r="E46" s="5"/>
    </row>
    <row r="47" spans="1:9" ht="15" customHeight="1" x14ac:dyDescent="0.2">
      <c r="A47" s="6" t="s">
        <v>126</v>
      </c>
      <c r="B47" s="26"/>
      <c r="C47" s="26"/>
      <c r="D47" s="26"/>
      <c r="E47" s="8" t="s">
        <v>16</v>
      </c>
      <c r="F47" s="8" t="s">
        <v>17</v>
      </c>
    </row>
    <row r="48" spans="1:9" ht="15" customHeight="1" x14ac:dyDescent="0.2">
      <c r="A48" s="5"/>
      <c r="B48" s="32" t="s">
        <v>127</v>
      </c>
      <c r="C48" s="5"/>
      <c r="D48" s="5"/>
      <c r="E48" s="5"/>
    </row>
    <row r="49" spans="1:6" ht="16.5" customHeight="1" x14ac:dyDescent="0.2">
      <c r="A49" s="9" t="s">
        <v>128</v>
      </c>
      <c r="B49" s="20">
        <v>0.2</v>
      </c>
      <c r="C49" s="10"/>
      <c r="D49" s="10"/>
      <c r="E49" s="2"/>
      <c r="F49" s="2" t="s">
        <v>129</v>
      </c>
    </row>
    <row r="50" spans="1:6" ht="16.5" customHeight="1" x14ac:dyDescent="0.2">
      <c r="A50" s="9" t="s">
        <v>130</v>
      </c>
      <c r="B50" s="20">
        <v>0.15</v>
      </c>
      <c r="C50" s="10"/>
      <c r="D50" s="10"/>
      <c r="E50" s="2"/>
      <c r="F50" s="2" t="s">
        <v>129</v>
      </c>
    </row>
    <row r="51" spans="1:6" ht="29" customHeight="1" x14ac:dyDescent="0.2">
      <c r="A51" s="9" t="s">
        <v>131</v>
      </c>
      <c r="B51" s="20">
        <v>0.2</v>
      </c>
      <c r="C51" s="36">
        <f>((D42*B42)+(D40*B40)+(D41*B41))*B51</f>
        <v>1418335.5043556136</v>
      </c>
      <c r="D51" s="10"/>
      <c r="E51" s="33" t="s">
        <v>132</v>
      </c>
      <c r="F51" s="33" t="s">
        <v>133</v>
      </c>
    </row>
    <row r="52" spans="1:6" ht="16.5" customHeight="1" x14ac:dyDescent="0.2">
      <c r="A52" s="9" t="s">
        <v>134</v>
      </c>
      <c r="B52" s="20">
        <v>0.25</v>
      </c>
      <c r="C52" s="10"/>
      <c r="D52" s="10"/>
      <c r="E52" s="2"/>
      <c r="F52" s="2" t="s">
        <v>135</v>
      </c>
    </row>
    <row r="53" spans="1:6" ht="15" customHeight="1" x14ac:dyDescent="0.2">
      <c r="A53" s="34" t="s">
        <v>136</v>
      </c>
      <c r="B53" s="35">
        <f>B45*(1+B49+B50+B52)+C51</f>
        <v>72765019.539200515</v>
      </c>
      <c r="C53" s="10"/>
      <c r="D53" s="10"/>
      <c r="E53" s="10"/>
    </row>
    <row r="54" spans="1:6" ht="15" customHeight="1" x14ac:dyDescent="0.2">
      <c r="A54" s="5"/>
      <c r="B54" s="37"/>
      <c r="C54" s="5"/>
      <c r="D54" s="5"/>
      <c r="E54" s="37"/>
    </row>
    <row r="55" spans="1:6" ht="15" customHeight="1" x14ac:dyDescent="0.2">
      <c r="A55" s="6" t="s">
        <v>827</v>
      </c>
      <c r="B55" s="26"/>
      <c r="C55" s="26"/>
      <c r="D55" s="26"/>
      <c r="E55" s="8" t="s">
        <v>16</v>
      </c>
      <c r="F55" s="8"/>
    </row>
    <row r="56" spans="1:6" x14ac:dyDescent="0.2">
      <c r="A56" t="s">
        <v>908</v>
      </c>
      <c r="B56" s="31">
        <v>150000</v>
      </c>
      <c r="C56" t="s">
        <v>475</v>
      </c>
      <c r="D56" t="s">
        <v>909</v>
      </c>
      <c r="E56" t="s">
        <v>832</v>
      </c>
    </row>
    <row r="57" spans="1:6" ht="30" x14ac:dyDescent="0.2">
      <c r="A57" s="34" t="s">
        <v>910</v>
      </c>
      <c r="B57" s="35">
        <f>(B40*D40+B41*D41+B42*D42)*(1+B49+B50+B52)+C51</f>
        <v>12765019.53920052</v>
      </c>
      <c r="C57" s="10" t="s">
        <v>149</v>
      </c>
      <c r="D57" t="s">
        <v>911</v>
      </c>
    </row>
    <row r="58" spans="1:6" x14ac:dyDescent="0.2">
      <c r="A58" s="34" t="s">
        <v>912</v>
      </c>
      <c r="B58" s="35">
        <f>B57*((B7*(1+B7)^B6)/((1+B7)^B6-1))/365</f>
        <v>4597.9872078350563</v>
      </c>
      <c r="C58" s="10" t="s">
        <v>830</v>
      </c>
      <c r="D58" t="s">
        <v>913</v>
      </c>
    </row>
  </sheetData>
  <mergeCells count="6">
    <mergeCell ref="A36:E36"/>
    <mergeCell ref="F13:G13"/>
    <mergeCell ref="A17:B17"/>
    <mergeCell ref="C17:D17"/>
    <mergeCell ref="A2:E2"/>
    <mergeCell ref="A3:E3"/>
  </mergeCells>
  <dataValidations count="1">
    <dataValidation type="list" allowBlank="1" showInputMessage="1" showErrorMessage="1" sqref="H40" xr:uid="{00000000-0002-0000-0200-000000000000}">
      <formula1>"1,2,3"</formula1>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121"/>
  <sheetViews>
    <sheetView zoomScaleNormal="100" zoomScalePageLayoutView="60" workbookViewId="0">
      <selection activeCell="F57" sqref="F57"/>
    </sheetView>
  </sheetViews>
  <sheetFormatPr baseColWidth="10" defaultColWidth="8.6640625" defaultRowHeight="15" outlineLevelCol="1" x14ac:dyDescent="0.2"/>
  <cols>
    <col min="1" max="1" width="40" customWidth="1"/>
    <col min="2" max="2" width="16" customWidth="1"/>
    <col min="3" max="3" width="17.83203125" customWidth="1"/>
    <col min="4" max="4" width="15" customWidth="1"/>
    <col min="5" max="5" width="13" customWidth="1"/>
    <col min="6" max="6" width="26" customWidth="1"/>
    <col min="7" max="7" width="14" customWidth="1"/>
    <col min="8" max="8" width="13" customWidth="1"/>
    <col min="9" max="17" width="15" customWidth="1"/>
    <col min="18" max="45" width="15" customWidth="1" outlineLevel="1"/>
  </cols>
  <sheetData>
    <row r="1" spans="1:36" ht="17.25" customHeight="1" x14ac:dyDescent="0.2">
      <c r="A1" s="4" t="s">
        <v>137</v>
      </c>
      <c r="B1" s="209"/>
      <c r="C1" s="209"/>
      <c r="D1" s="209"/>
      <c r="E1" s="209"/>
      <c r="F1" s="209"/>
      <c r="G1" s="209"/>
    </row>
    <row r="2" spans="1:36" ht="15" customHeight="1" x14ac:dyDescent="0.2"/>
    <row r="3" spans="1:36" ht="24" customHeight="1" x14ac:dyDescent="0.2">
      <c r="A3" s="358" t="s">
        <v>138</v>
      </c>
      <c r="B3" s="358"/>
      <c r="C3" s="358"/>
      <c r="D3" s="358"/>
      <c r="E3" s="358"/>
      <c r="F3" s="356" t="s">
        <v>139</v>
      </c>
      <c r="G3" s="356"/>
      <c r="H3" s="356"/>
    </row>
    <row r="4" spans="1:36" ht="15" customHeight="1" x14ac:dyDescent="0.2">
      <c r="A4" s="27" t="s">
        <v>140</v>
      </c>
      <c r="B4" s="8" t="s">
        <v>141</v>
      </c>
      <c r="C4" s="8" t="s">
        <v>142</v>
      </c>
      <c r="D4" s="8" t="s">
        <v>143</v>
      </c>
      <c r="E4" s="8"/>
      <c r="F4" s="8" t="s">
        <v>144</v>
      </c>
      <c r="G4" s="8" t="s">
        <v>14</v>
      </c>
      <c r="H4" s="8" t="s">
        <v>15</v>
      </c>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row>
    <row r="5" spans="1:36" ht="15" customHeight="1" x14ac:dyDescent="0.2">
      <c r="A5" s="9" t="s">
        <v>145</v>
      </c>
      <c r="B5" s="24">
        <f>('2. Cost Inputs'!B7*(1+'2. Cost Inputs'!B7)^'2. Cost Inputs'!B6)/((1+'2. Cost Inputs'!B7)^'2. Cost Inputs'!B6-1)</f>
        <v>0.13147377688737219</v>
      </c>
      <c r="C5" s="21"/>
      <c r="D5" s="21"/>
      <c r="E5" s="21"/>
      <c r="F5" s="39" t="s">
        <v>146</v>
      </c>
      <c r="G5" s="35">
        <f>B13/$B$22</f>
        <v>54047.97862812745</v>
      </c>
      <c r="H5" s="40" t="s">
        <v>142</v>
      </c>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row>
    <row r="6" spans="1:36" ht="15" customHeight="1" x14ac:dyDescent="0.2">
      <c r="A6" s="9" t="s">
        <v>147</v>
      </c>
      <c r="B6" s="36">
        <f>'2. Cost Inputs'!B53*B5</f>
        <v>9566691.9441021271</v>
      </c>
      <c r="C6" s="36">
        <f t="shared" ref="C6:C13" si="0">B6/$B$22</f>
        <v>24173.56208309943</v>
      </c>
      <c r="D6" s="41">
        <f t="shared" ref="D6:D12" si="1">B6/$B$13</f>
        <v>0.44726116862618642</v>
      </c>
      <c r="E6" s="21"/>
      <c r="F6" s="10" t="s">
        <v>148</v>
      </c>
      <c r="G6" s="16">
        <f>$B$22</f>
        <v>395.75019648389059</v>
      </c>
      <c r="H6" s="40" t="s">
        <v>76</v>
      </c>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row>
    <row r="7" spans="1:36" ht="15" customHeight="1" x14ac:dyDescent="0.2">
      <c r="A7" s="9" t="s">
        <v>33</v>
      </c>
      <c r="B7" s="36">
        <f>'2. Cost Inputs'!B24*'2. Cost Inputs'!D24*$B$22</f>
        <v>3601465.4400390782</v>
      </c>
      <c r="C7" s="36">
        <f t="shared" si="0"/>
        <v>9100.3503524114603</v>
      </c>
      <c r="D7" s="41">
        <f t="shared" si="1"/>
        <v>0.16837540613730723</v>
      </c>
      <c r="E7" s="21"/>
      <c r="F7" s="10" t="s">
        <v>136</v>
      </c>
      <c r="G7" s="36">
        <f>'2. Cost Inputs'!B53</f>
        <v>72765019.539200515</v>
      </c>
      <c r="H7" s="40" t="s">
        <v>149</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row>
    <row r="8" spans="1:36" ht="15" customHeight="1" x14ac:dyDescent="0.2">
      <c r="A8" s="9" t="s">
        <v>150</v>
      </c>
      <c r="B8" s="36">
        <f>'2. Cost Inputs'!B28*'2. Cost Inputs'!D28*$B$22</f>
        <v>6229.4097533175927</v>
      </c>
      <c r="C8" s="36">
        <f t="shared" si="0"/>
        <v>15.740762250186696</v>
      </c>
      <c r="D8" s="41">
        <f t="shared" si="1"/>
        <v>2.9123683530312355E-4</v>
      </c>
      <c r="E8" s="21"/>
      <c r="F8" s="10" t="s">
        <v>151</v>
      </c>
      <c r="G8" s="36">
        <f>B13</f>
        <v>21389498.161638558</v>
      </c>
      <c r="H8" s="40" t="s">
        <v>152</v>
      </c>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row>
    <row r="9" spans="1:36" ht="15" customHeight="1" x14ac:dyDescent="0.2">
      <c r="A9" s="9" t="s">
        <v>153</v>
      </c>
      <c r="B9" s="36">
        <f>'2. Cost Inputs'!B20*'2. Cost Inputs'!D20*$B$22</f>
        <v>0</v>
      </c>
      <c r="C9" s="36">
        <f t="shared" si="0"/>
        <v>0</v>
      </c>
      <c r="D9" s="41">
        <f t="shared" si="1"/>
        <v>0</v>
      </c>
      <c r="E9" s="21"/>
      <c r="F9" s="10" t="s">
        <v>154</v>
      </c>
      <c r="G9" s="16">
        <f>'2. Cost Inputs'!B13</f>
        <v>8141.3335504355618</v>
      </c>
      <c r="H9" s="40" t="s">
        <v>79</v>
      </c>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row>
    <row r="10" spans="1:36" ht="15" customHeight="1" x14ac:dyDescent="0.2">
      <c r="A10" s="9" t="s">
        <v>105</v>
      </c>
      <c r="B10" s="36">
        <f>'2. Cost Inputs'!B31*'2. Cost Inputs'!D31</f>
        <v>900000</v>
      </c>
      <c r="C10" s="36">
        <f t="shared" si="0"/>
        <v>2274.1618525933832</v>
      </c>
      <c r="D10" s="41">
        <f t="shared" si="1"/>
        <v>4.2076723502289727E-2</v>
      </c>
      <c r="E10" s="21"/>
      <c r="F10" s="10" t="s">
        <v>155</v>
      </c>
      <c r="G10" s="16">
        <f>B21</f>
        <v>132</v>
      </c>
      <c r="H10" s="40" t="s">
        <v>156</v>
      </c>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row>
    <row r="11" spans="1:36" ht="15" customHeight="1" x14ac:dyDescent="0.2">
      <c r="A11" s="9" t="s">
        <v>109</v>
      </c>
      <c r="B11" s="36">
        <f>'2. Cost Inputs'!B53*'2. Cost Inputs'!B35</f>
        <v>5093551.367744037</v>
      </c>
      <c r="C11" s="36">
        <f t="shared" si="0"/>
        <v>12870.622460831488</v>
      </c>
      <c r="D11" s="41">
        <f t="shared" si="1"/>
        <v>0.23813328060586167</v>
      </c>
      <c r="E11" s="21"/>
      <c r="F11" s="10" t="s">
        <v>157</v>
      </c>
      <c r="G11" s="16">
        <f>'2. Cost Inputs'!B14</f>
        <v>4168.3627778230075</v>
      </c>
      <c r="H11" s="40" t="s">
        <v>117</v>
      </c>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row>
    <row r="12" spans="1:36" ht="16.5" customHeight="1" x14ac:dyDescent="0.2">
      <c r="A12" s="9" t="s">
        <v>158</v>
      </c>
      <c r="B12" s="36">
        <f>(B24+B25)*'2. Cost Inputs'!D25</f>
        <v>2221560</v>
      </c>
      <c r="C12" s="36">
        <f t="shared" si="0"/>
        <v>5613.5411169415065</v>
      </c>
      <c r="D12" s="41">
        <f t="shared" si="1"/>
        <v>0.10386218429305195</v>
      </c>
      <c r="E12" s="21"/>
      <c r="F12" s="9" t="s">
        <v>159</v>
      </c>
      <c r="G12" s="41">
        <f>B6/B13</f>
        <v>0.44726116862618642</v>
      </c>
      <c r="H12" s="40" t="s">
        <v>64</v>
      </c>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row>
    <row r="13" spans="1:36" ht="15" customHeight="1" x14ac:dyDescent="0.2">
      <c r="A13" s="34" t="s">
        <v>160</v>
      </c>
      <c r="B13" s="35">
        <f>SUM(B6:B12)</f>
        <v>21389498.161638558</v>
      </c>
      <c r="C13" s="35">
        <f t="shared" si="0"/>
        <v>54047.97862812745</v>
      </c>
      <c r="D13" s="42">
        <f>1</f>
        <v>1</v>
      </c>
      <c r="E13" s="21"/>
      <c r="F13" s="10" t="s">
        <v>161</v>
      </c>
      <c r="G13" s="41">
        <f>(B7+B8)/B13</f>
        <v>0.16866664297261033</v>
      </c>
      <c r="H13" s="5" t="s">
        <v>64</v>
      </c>
    </row>
    <row r="14" spans="1:36" ht="15" customHeight="1" x14ac:dyDescent="0.2">
      <c r="A14" s="43"/>
      <c r="F14" t="s">
        <v>162</v>
      </c>
      <c r="G14" s="44">
        <f>G5/'5a. Cooling Model - Local'!B5</f>
        <v>180159.92876042484</v>
      </c>
      <c r="H14" t="s">
        <v>163</v>
      </c>
    </row>
    <row r="16" spans="1:36" ht="15" customHeight="1" x14ac:dyDescent="0.2">
      <c r="A16" s="358" t="s">
        <v>164</v>
      </c>
      <c r="B16" s="358"/>
      <c r="C16" s="358"/>
      <c r="D16" s="358"/>
      <c r="E16" s="358"/>
      <c r="F16" s="358"/>
      <c r="G16" s="358"/>
      <c r="H16" s="358"/>
      <c r="I16" s="3"/>
    </row>
    <row r="17" spans="1:36" ht="15" customHeight="1" x14ac:dyDescent="0.2">
      <c r="A17" s="27" t="s">
        <v>140</v>
      </c>
      <c r="B17" s="8"/>
      <c r="C17" s="8"/>
      <c r="D17" s="8"/>
      <c r="E17" s="8" t="s">
        <v>268</v>
      </c>
      <c r="F17" s="8"/>
      <c r="G17" s="8"/>
      <c r="H17" s="8"/>
      <c r="I17" s="8" t="s">
        <v>17</v>
      </c>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row>
    <row r="18" spans="1:36" ht="54" customHeight="1" x14ac:dyDescent="0.2">
      <c r="A18" s="9" t="s">
        <v>165</v>
      </c>
      <c r="B18" s="20">
        <v>0.36529680365296802</v>
      </c>
      <c r="C18" s="10" t="s">
        <v>166</v>
      </c>
      <c r="E18" s="359" t="s">
        <v>167</v>
      </c>
      <c r="F18" s="359"/>
      <c r="G18" s="359"/>
      <c r="H18" s="359"/>
      <c r="I18" s="45" t="s">
        <v>168</v>
      </c>
    </row>
    <row r="19" spans="1:36" ht="66.5" customHeight="1" x14ac:dyDescent="0.2">
      <c r="A19" s="9" t="s">
        <v>169</v>
      </c>
      <c r="B19" s="20">
        <v>0</v>
      </c>
      <c r="C19" s="10" t="s">
        <v>166</v>
      </c>
      <c r="E19" s="359" t="s">
        <v>170</v>
      </c>
      <c r="F19" s="359"/>
      <c r="G19" s="359"/>
      <c r="H19" s="359"/>
      <c r="I19" s="45" t="s">
        <v>171</v>
      </c>
    </row>
    <row r="20" spans="1:36" ht="54" customHeight="1" x14ac:dyDescent="0.2">
      <c r="A20" s="9" t="s">
        <v>172</v>
      </c>
      <c r="B20" s="20">
        <v>3.6529680365296802E-2</v>
      </c>
      <c r="C20" s="10" t="s">
        <v>166</v>
      </c>
      <c r="E20" s="359" t="s">
        <v>173</v>
      </c>
      <c r="F20" s="359"/>
      <c r="G20" s="359"/>
      <c r="H20" s="359"/>
      <c r="I20" s="45" t="s">
        <v>174</v>
      </c>
    </row>
    <row r="21" spans="1:36" ht="15" customHeight="1" x14ac:dyDescent="0.2">
      <c r="A21" s="9" t="s">
        <v>155</v>
      </c>
      <c r="B21" s="16">
        <f>(B18+B19+B20)*365*'2. Cost Inputs'!$B$5</f>
        <v>132</v>
      </c>
      <c r="C21" s="10" t="s">
        <v>175</v>
      </c>
      <c r="E21" s="359" t="s">
        <v>176</v>
      </c>
      <c r="F21" s="359"/>
      <c r="G21" s="359"/>
      <c r="H21" s="359"/>
    </row>
    <row r="22" spans="1:36" ht="15" customHeight="1" x14ac:dyDescent="0.2">
      <c r="A22" s="9" t="s">
        <v>177</v>
      </c>
      <c r="B22" s="16">
        <f>(B18+B19)*'2. Cost Inputs'!$B$15</f>
        <v>395.75019648389059</v>
      </c>
      <c r="C22" s="10" t="s">
        <v>76</v>
      </c>
      <c r="E22" s="359" t="s">
        <v>178</v>
      </c>
      <c r="F22" s="359"/>
      <c r="G22" s="359"/>
      <c r="H22" s="359"/>
    </row>
    <row r="23" spans="1:36" ht="15" customHeight="1" x14ac:dyDescent="0.2">
      <c r="A23" s="9" t="s">
        <v>179</v>
      </c>
      <c r="B23" s="16">
        <f>$B$26*'2. Cost Inputs'!B27/('2. Cost Inputs'!B25+'2. Cost Inputs'!B26)</f>
        <v>48.128342245989302</v>
      </c>
      <c r="C23" s="10" t="s">
        <v>175</v>
      </c>
      <c r="E23" s="359" t="s">
        <v>180</v>
      </c>
      <c r="F23" s="359"/>
      <c r="G23" s="359"/>
      <c r="H23" s="359"/>
    </row>
    <row r="24" spans="1:36" ht="15" customHeight="1" x14ac:dyDescent="0.2">
      <c r="A24" s="9" t="s">
        <v>181</v>
      </c>
      <c r="B24" s="16">
        <f>(B18+B20)*365*'2. Cost Inputs'!$B$5*'2. Cost Inputs'!B25</f>
        <v>2112000</v>
      </c>
      <c r="C24" s="10" t="s">
        <v>182</v>
      </c>
      <c r="E24" s="359" t="s">
        <v>183</v>
      </c>
      <c r="F24" s="359"/>
      <c r="G24" s="359"/>
      <c r="H24" s="359"/>
    </row>
    <row r="25" spans="1:36" ht="25.5" customHeight="1" x14ac:dyDescent="0.2">
      <c r="A25" s="9" t="s">
        <v>184</v>
      </c>
      <c r="B25" s="16">
        <f>B21*'2. Cost Inputs'!B26</f>
        <v>356400</v>
      </c>
      <c r="C25" s="10" t="s">
        <v>182</v>
      </c>
      <c r="E25" s="45" t="s">
        <v>185</v>
      </c>
    </row>
    <row r="26" spans="1:36" ht="104" x14ac:dyDescent="0.2">
      <c r="A26" s="9" t="s">
        <v>914</v>
      </c>
      <c r="B26" s="20">
        <v>0.9</v>
      </c>
      <c r="C26" s="10" t="s">
        <v>64</v>
      </c>
      <c r="E26" s="45" t="s">
        <v>915</v>
      </c>
    </row>
    <row r="27" spans="1:36" ht="21.75" customHeight="1" x14ac:dyDescent="0.2">
      <c r="A27" s="358" t="s">
        <v>186</v>
      </c>
      <c r="B27" s="358"/>
      <c r="C27" s="358"/>
      <c r="D27" s="358"/>
      <c r="E27" s="358"/>
      <c r="F27" s="358"/>
      <c r="G27" s="358"/>
      <c r="H27" s="358"/>
    </row>
    <row r="28" spans="1:36" ht="27.75" customHeight="1" x14ac:dyDescent="0.2">
      <c r="A28" s="361" t="s">
        <v>187</v>
      </c>
      <c r="B28" s="361"/>
      <c r="C28" s="361"/>
      <c r="D28" s="361"/>
      <c r="E28" s="361"/>
      <c r="F28" s="361"/>
      <c r="G28" s="361"/>
      <c r="H28" s="361"/>
    </row>
    <row r="29" spans="1:36" ht="15" customHeight="1" x14ac:dyDescent="0.2">
      <c r="A29" s="361"/>
      <c r="B29" s="361"/>
      <c r="C29" s="361"/>
      <c r="D29" s="361"/>
      <c r="E29" s="361"/>
      <c r="F29" s="361"/>
      <c r="G29" s="361"/>
      <c r="H29" s="361"/>
    </row>
    <row r="30" spans="1:36" ht="15" customHeight="1" x14ac:dyDescent="0.2">
      <c r="A30" s="46" t="s">
        <v>140</v>
      </c>
      <c r="B30" s="46" t="s">
        <v>188</v>
      </c>
      <c r="C30" s="46" t="s">
        <v>189</v>
      </c>
      <c r="D30" s="46" t="s">
        <v>190</v>
      </c>
    </row>
    <row r="31" spans="1:36" ht="15" customHeight="1" x14ac:dyDescent="0.2">
      <c r="A31" t="s">
        <v>191</v>
      </c>
      <c r="B31" s="211">
        <f>'2. Cost Inputs'!B15*(B53/'2. Cost Inputs'!$B$5)</f>
        <v>237.45011789033438</v>
      </c>
      <c r="C31" s="211">
        <f>'2. Cost Inputs'!B15*(C53/'2. Cost Inputs'!$B$5)</f>
        <v>395.75019648389059</v>
      </c>
      <c r="D31" s="211">
        <f>'2. Cost Inputs'!B15*(D53/'2. Cost Inputs'!$B$5)</f>
        <v>514.47525542905782</v>
      </c>
    </row>
    <row r="32" spans="1:36" ht="15" customHeight="1" x14ac:dyDescent="0.2">
      <c r="A32" t="s">
        <v>192</v>
      </c>
      <c r="B32" s="211">
        <f>B49*24/1000/('1. Technology Description'!B13/10^6)</f>
        <v>45501.751762057291</v>
      </c>
      <c r="C32" s="211">
        <f>C49*24/1000/('1. Technology Description'!B13/10^6)</f>
        <v>30334.501174704867</v>
      </c>
      <c r="D32" s="211">
        <f>D49*24/1000/('1. Technology Description'!B13/10^6)</f>
        <v>3033.4501174704869</v>
      </c>
    </row>
    <row r="33" spans="1:21" ht="15" customHeight="1" x14ac:dyDescent="0.2">
      <c r="A33" t="s">
        <v>193</v>
      </c>
      <c r="B33" s="212">
        <f>('2. Cost Inputs'!B13*B54+'2. Cost Inputs'!B13*B49/1000*B59+1*('2. Cost Inputs'!D42+'2. Cost Inputs'!D43+'2. Cost Inputs'!D44))*(1+'2. Cost Inputs'!B49+'2. Cost Inputs'!B50+'2. Cost Inputs'!B51+'2. Cost Inputs'!B52)</f>
        <v>107522204.26605877</v>
      </c>
      <c r="C33" s="212">
        <f>('2. Cost Inputs'!B13*C54+'2. Cost Inputs'!B13*C49/1000*C59+1*('2. Cost Inputs'!D42+'2. Cost Inputs'!D43+'2. Cost Inputs'!D44))*(1+'2. Cost Inputs'!B49+'2. Cost Inputs'!B50+'2. Cost Inputs'!B51+'2. Cost Inputs'!B52)</f>
        <v>80265019.539200515</v>
      </c>
      <c r="D33" s="212">
        <f>('2. Cost Inputs'!B13*D54+'2. Cost Inputs'!B13*D49/1000*D59+1*('2. Cost Inputs'!D42+'2. Cost Inputs'!D43+'2. Cost Inputs'!D44))*(1+'2. Cost Inputs'!B49+'2. Cost Inputs'!B50+'2. Cost Inputs'!B51+'2. Cost Inputs'!B52)</f>
        <v>68366818.773915157</v>
      </c>
    </row>
    <row r="34" spans="1:21" ht="15" customHeight="1" x14ac:dyDescent="0.2">
      <c r="A34" t="s">
        <v>145</v>
      </c>
      <c r="B34" s="213">
        <f>(B57*(1+B57)^'2. Cost Inputs'!B6)/((1+B57)^'2. Cost Inputs'!B6-1)</f>
        <v>0.17101705264630113</v>
      </c>
      <c r="C34" s="213">
        <f>(C57*(1+C57)^'2. Cost Inputs'!B6)/((1+C57)^'2. Cost Inputs'!B6-1)</f>
        <v>0.13147377688737219</v>
      </c>
      <c r="D34" s="213">
        <f>(D57*(1+D57)^'2. Cost Inputs'!B6)/((1+D57)^'2. Cost Inputs'!B6-1)</f>
        <v>0.10296276395531262</v>
      </c>
    </row>
    <row r="35" spans="1:21" ht="15" customHeight="1" x14ac:dyDescent="0.2">
      <c r="A35" t="s">
        <v>194</v>
      </c>
      <c r="B35" s="212">
        <f>B33*B34</f>
        <v>18388130.467614915</v>
      </c>
      <c r="C35" s="212">
        <f>C33*C34</f>
        <v>10552745.270757418</v>
      </c>
      <c r="D35" s="212">
        <f>D33*D34</f>
        <v>7039236.6237942614</v>
      </c>
    </row>
    <row r="36" spans="1:21" ht="15" customHeight="1" x14ac:dyDescent="0.2">
      <c r="A36" t="s">
        <v>195</v>
      </c>
      <c r="B36" s="212">
        <f>B32*B58*B31</f>
        <v>4861978.3440527553</v>
      </c>
      <c r="C36" s="212">
        <f>C32*C58*C31</f>
        <v>3601465.4400390782</v>
      </c>
      <c r="D36" s="212">
        <f>D32*D58*D31</f>
        <v>280914.30432304816</v>
      </c>
    </row>
    <row r="37" spans="1:21" ht="15" customHeight="1" x14ac:dyDescent="0.2">
      <c r="A37" t="s">
        <v>196</v>
      </c>
      <c r="B37" s="212">
        <f>'2. Cost Inputs'!$B$28*'2. Cost Inputs'!$D$28*B31</f>
        <v>3737.6458519905564</v>
      </c>
      <c r="C37" s="212">
        <f>'2. Cost Inputs'!$B$28*'2. Cost Inputs'!$D$28*C31</f>
        <v>6229.4097533175927</v>
      </c>
      <c r="D37" s="212">
        <f>'2. Cost Inputs'!$B$28*'2. Cost Inputs'!$D$28*D31</f>
        <v>8098.2326793128714</v>
      </c>
      <c r="E37" s="45" t="s">
        <v>916</v>
      </c>
    </row>
    <row r="38" spans="1:21" ht="15" customHeight="1" x14ac:dyDescent="0.2">
      <c r="A38" t="s">
        <v>197</v>
      </c>
      <c r="B38" s="212">
        <f>1*6*B52</f>
        <v>1260000</v>
      </c>
      <c r="C38" s="212">
        <f>1*6*C52</f>
        <v>900000</v>
      </c>
      <c r="D38" s="212">
        <f>1*6*D52</f>
        <v>630000</v>
      </c>
    </row>
    <row r="39" spans="1:21" ht="15" customHeight="1" x14ac:dyDescent="0.2">
      <c r="A39" t="s">
        <v>198</v>
      </c>
      <c r="B39" s="212">
        <f>B33*B56</f>
        <v>12042486.877798585</v>
      </c>
      <c r="C39" s="212">
        <f>C33*C56</f>
        <v>5618551.367744037</v>
      </c>
      <c r="D39" s="212">
        <f>D33*D56</f>
        <v>2392838.6570870308</v>
      </c>
    </row>
    <row r="40" spans="1:21" ht="15" customHeight="1" x14ac:dyDescent="0.2">
      <c r="A40" t="s">
        <v>199</v>
      </c>
      <c r="B40" s="212">
        <f>B51*'2. Cost Inputs'!D25*1</f>
        <v>2851200</v>
      </c>
      <c r="C40" s="212">
        <f>C51*'2. Cost Inputs'!D25*1</f>
        <v>1900800</v>
      </c>
      <c r="D40" s="212">
        <f>D51*'2. Cost Inputs'!D25*1</f>
        <v>950400</v>
      </c>
    </row>
    <row r="41" spans="1:21" ht="15" customHeight="1" x14ac:dyDescent="0.2">
      <c r="A41" s="46" t="s">
        <v>200</v>
      </c>
      <c r="B41" s="47">
        <f>SUM(B35:B40)/B31</f>
        <v>165961.31299256079</v>
      </c>
      <c r="C41" s="47">
        <f>SUM(C35:C40)/C31</f>
        <v>57055.667157989606</v>
      </c>
      <c r="D41" s="47">
        <f>SUM(D35:D40)/D31</f>
        <v>21967.019207675075</v>
      </c>
    </row>
    <row r="42" spans="1:21" ht="15" customHeight="1" x14ac:dyDescent="0.2">
      <c r="A42" s="48"/>
      <c r="B42" s="49"/>
      <c r="C42" s="50"/>
      <c r="D42" s="50"/>
    </row>
    <row r="45" spans="1:21" ht="21.75" customHeight="1" x14ac:dyDescent="0.2">
      <c r="A45" s="3" t="s">
        <v>201</v>
      </c>
      <c r="B45" s="1"/>
      <c r="C45" s="1"/>
      <c r="D45" s="1"/>
      <c r="E45" s="1"/>
      <c r="F45" s="1"/>
      <c r="G45" s="1"/>
    </row>
    <row r="47" spans="1:21" ht="32.25" customHeight="1" x14ac:dyDescent="0.2">
      <c r="A47" s="51" t="s">
        <v>202</v>
      </c>
    </row>
    <row r="48" spans="1:21" ht="32.25" customHeight="1" x14ac:dyDescent="0.2">
      <c r="A48" s="27" t="s">
        <v>203</v>
      </c>
      <c r="B48" s="8" t="s">
        <v>188</v>
      </c>
      <c r="C48" s="8" t="s">
        <v>204</v>
      </c>
      <c r="D48" s="8" t="s">
        <v>190</v>
      </c>
      <c r="E48" s="8" t="s">
        <v>205</v>
      </c>
      <c r="F48" s="8" t="s">
        <v>206</v>
      </c>
      <c r="I48" s="362" t="s">
        <v>207</v>
      </c>
      <c r="J48" s="362"/>
      <c r="K48" s="362"/>
      <c r="R48" s="357"/>
      <c r="S48" s="357"/>
      <c r="T48" s="357"/>
      <c r="U48" s="357"/>
    </row>
    <row r="49" spans="1:36" ht="39.75" customHeight="1" x14ac:dyDescent="0.2">
      <c r="A49" s="9" t="s">
        <v>208</v>
      </c>
      <c r="B49" s="52">
        <f>C49*1.5</f>
        <v>768</v>
      </c>
      <c r="C49" s="53">
        <f>'1. Technology Description'!B17</f>
        <v>512</v>
      </c>
      <c r="D49" s="54">
        <f>C49*0.1</f>
        <v>51.2</v>
      </c>
      <c r="E49" s="36" t="s">
        <v>35</v>
      </c>
      <c r="F49" s="360" t="s">
        <v>209</v>
      </c>
      <c r="G49" s="360"/>
      <c r="H49" s="360"/>
      <c r="I49" s="215"/>
      <c r="J49" s="55" t="s">
        <v>210</v>
      </c>
      <c r="K49" s="55" t="s">
        <v>211</v>
      </c>
      <c r="L49" s="55" t="s">
        <v>212</v>
      </c>
      <c r="M49" s="55" t="s">
        <v>213</v>
      </c>
      <c r="N49" s="55" t="s">
        <v>214</v>
      </c>
      <c r="O49" s="55" t="s">
        <v>215</v>
      </c>
      <c r="P49" s="55" t="s">
        <v>216</v>
      </c>
      <c r="Q49" s="55" t="s">
        <v>217</v>
      </c>
      <c r="R49" s="55" t="s">
        <v>218</v>
      </c>
      <c r="S49" s="55" t="s">
        <v>106</v>
      </c>
      <c r="AJ49" s="56" t="s">
        <v>142</v>
      </c>
    </row>
    <row r="50" spans="1:36" ht="28.5" customHeight="1" x14ac:dyDescent="0.2">
      <c r="A50" s="9" t="s">
        <v>219</v>
      </c>
      <c r="B50" s="57">
        <f>C50*0.85</f>
        <v>1470500000000</v>
      </c>
      <c r="C50" s="58">
        <f>'1. Technology Description'!B8</f>
        <v>1730000000000</v>
      </c>
      <c r="D50" s="57">
        <f>C50*1.15</f>
        <v>1989499999999.9998</v>
      </c>
      <c r="E50" s="36" t="s">
        <v>19</v>
      </c>
      <c r="F50" s="214" t="s">
        <v>220</v>
      </c>
      <c r="G50" s="215"/>
      <c r="H50" s="215"/>
      <c r="I50" s="215"/>
      <c r="J50" s="59">
        <f>'1. Technology Description'!$B$10</f>
        <v>150</v>
      </c>
      <c r="K50" s="60">
        <f>($B$18+$B$19)*'2. Cost Inputs'!$B$5</f>
        <v>0.32876712328767121</v>
      </c>
      <c r="L50" s="60">
        <f>'2. Cost Inputs'!$B$7</f>
        <v>0.1</v>
      </c>
      <c r="M50" s="61">
        <f>'2. Cost Inputs'!$D$40</f>
        <v>100</v>
      </c>
      <c r="N50" s="61">
        <f>'2. Cost Inputs'!$D$41</f>
        <v>1500</v>
      </c>
      <c r="O50" s="61">
        <f>'2. Cost Inputs'!$D$43</f>
        <v>7500000</v>
      </c>
      <c r="P50" s="60">
        <f>'2. Cost Inputs'!$B$35</f>
        <v>7.0000000000000007E-2</v>
      </c>
      <c r="Q50" s="62">
        <f>'2. Cost Inputs'!$D$24</f>
        <v>0.3</v>
      </c>
      <c r="R50" s="63">
        <f>('2. Cost Inputs'!$B$25*($B$18+$B$20)*365*'2. Cost Inputs'!$B$5)</f>
        <v>2112000</v>
      </c>
      <c r="S50" s="61">
        <f>'2. Cost Inputs'!$D$31</f>
        <v>150000</v>
      </c>
      <c r="T50" s="64">
        <f>PI()/6*(J50*10^-9)^3*2160</f>
        <v>3.8170350741115989E-18</v>
      </c>
      <c r="U50" s="65">
        <f>'1. Technology Description'!$B$8*'1. Technology Description'!$B$9*T50*86400*1000</f>
        <v>405.08330528430236</v>
      </c>
      <c r="V50" s="64">
        <f t="shared" ref="V50:V72" si="2">U50*365*K50/1000000</f>
        <v>4.8609996634116283E-2</v>
      </c>
      <c r="W50" s="64">
        <f t="shared" ref="W50:W72" si="3">ROUNDUP($B$22/V50,0)</f>
        <v>8142</v>
      </c>
      <c r="X50" s="64">
        <f>W50*'1. Technology Description'!$B$17/1000</f>
        <v>4168.7039999999997</v>
      </c>
      <c r="Y50" s="63">
        <f>1</f>
        <v>1</v>
      </c>
      <c r="Z50" s="64">
        <f>W50*M50+X50*N50+Y50*'2. Cost Inputs'!$D$42+Y50*O50+Y50*'2. Cost Inputs'!$D$44</f>
        <v>44592256</v>
      </c>
      <c r="AA50" s="64">
        <f>Z50*(1+'2. Cost Inputs'!$B$49+'2. Cost Inputs'!$B$50+'2. Cost Inputs'!$B$52)+(W50*M50+X50*N50+Y50*'2. Cost Inputs'!$D$42)*'2. Cost Inputs'!$B$51</f>
        <v>72766060.799999997</v>
      </c>
      <c r="AB50" s="64">
        <f>(L50*(1+L50)^'2. Cost Inputs'!$B$6)/((1+L50)^'2. Cost Inputs'!$B$6-1)</f>
        <v>0.13147377688737219</v>
      </c>
      <c r="AC50" s="64">
        <f t="shared" ref="AC50:AC72" si="4">AA50*AB50</f>
        <v>9566828.8425921593</v>
      </c>
      <c r="AD50" s="64">
        <f>'1. Technology Description'!$B$17*24/1000/(U50/1000000)</f>
        <v>30334.501174704867</v>
      </c>
      <c r="AE50" s="64">
        <f t="shared" ref="AE50:AE72" si="5">AD50*Q50*$B$22</f>
        <v>3601465.4400390782</v>
      </c>
      <c r="AF50" s="64">
        <f t="shared" ref="AF50:AF72" si="6">Y50*6*S50</f>
        <v>900000</v>
      </c>
      <c r="AG50" s="64">
        <f t="shared" ref="AG50:AG72" si="7">AA50*P50</f>
        <v>5093624.2560000001</v>
      </c>
      <c r="AH50" s="64">
        <f>R50*'2. Cost Inputs'!$D$25*Y50</f>
        <v>1900800</v>
      </c>
      <c r="AI50" s="64">
        <f>AC50+AE50+AF50+AG50+AH50+(('1. Technology Description'!$B$24/(U50/1000000)/1000)*'1. Technology Description'!$B$26*'2. Cost Inputs'!$D$28*$B$22)</f>
        <v>21068947.948384557</v>
      </c>
      <c r="AJ50" s="66">
        <f t="shared" ref="AJ50:AJ72" si="8">AI50/$B$22</f>
        <v>53237.997442768647</v>
      </c>
    </row>
    <row r="51" spans="1:36" ht="32.25" customHeight="1" x14ac:dyDescent="0.2">
      <c r="A51" s="9" t="s">
        <v>221</v>
      </c>
      <c r="B51" s="67">
        <f>C51*1.5</f>
        <v>3168000</v>
      </c>
      <c r="C51" s="68">
        <f>('2. Cost Inputs'!$B$25*($B$18+$B$20)*365*'2. Cost Inputs'!$B$5)</f>
        <v>2112000</v>
      </c>
      <c r="D51" s="69">
        <f>C51*0.5</f>
        <v>1056000</v>
      </c>
      <c r="E51" s="36" t="s">
        <v>222</v>
      </c>
      <c r="F51" s="214" t="s">
        <v>223</v>
      </c>
      <c r="G51" s="215"/>
      <c r="H51" s="215"/>
      <c r="I51" s="215"/>
      <c r="J51" s="59">
        <f>$B$49</f>
        <v>768</v>
      </c>
      <c r="K51" s="60">
        <f>($B$18+$B$19)*'2. Cost Inputs'!$B$5</f>
        <v>0.32876712328767121</v>
      </c>
      <c r="L51" s="60">
        <f>'2. Cost Inputs'!$B$7</f>
        <v>0.1</v>
      </c>
      <c r="M51" s="61">
        <f>'2. Cost Inputs'!$D$40</f>
        <v>100</v>
      </c>
      <c r="N51" s="61">
        <f>'2. Cost Inputs'!$D$41</f>
        <v>1500</v>
      </c>
      <c r="O51" s="61">
        <f>'2. Cost Inputs'!$D$43</f>
        <v>7500000</v>
      </c>
      <c r="P51" s="60">
        <f>'2. Cost Inputs'!$B$35</f>
        <v>7.0000000000000007E-2</v>
      </c>
      <c r="Q51" s="62">
        <f>'2. Cost Inputs'!$D$24</f>
        <v>0.3</v>
      </c>
      <c r="R51" s="63">
        <f>('2. Cost Inputs'!$B$25*($B$18+$B$20)*365*'2. Cost Inputs'!$B$5)</f>
        <v>2112000</v>
      </c>
      <c r="S51" s="61">
        <f>'2. Cost Inputs'!$D$31</f>
        <v>150000</v>
      </c>
      <c r="T51" s="64">
        <f>$T$50</f>
        <v>3.8170350741115989E-18</v>
      </c>
      <c r="U51" s="65">
        <f>'1. Technology Description'!$B$8*'1. Technology Description'!$B$9*T51*86400*1000</f>
        <v>405.08330528430236</v>
      </c>
      <c r="V51" s="64">
        <f t="shared" si="2"/>
        <v>4.8609996634116283E-2</v>
      </c>
      <c r="W51" s="64">
        <f t="shared" si="3"/>
        <v>8142</v>
      </c>
      <c r="X51" s="64">
        <f>W51*J51/1000</f>
        <v>6253.0559999999996</v>
      </c>
      <c r="Y51" s="63">
        <f>1</f>
        <v>1</v>
      </c>
      <c r="Z51" s="64">
        <f>W51*M51+X51*N51+Y51*'2. Cost Inputs'!$D$42+Y51*O51+Y51*'2. Cost Inputs'!$D$44</f>
        <v>47718784</v>
      </c>
      <c r="AA51" s="64">
        <f>Z51*(1+'2. Cost Inputs'!$B$49+'2. Cost Inputs'!$B$50+'2. Cost Inputs'!$B$52)+(W51*M51+X51*N51+Y51*'2. Cost Inputs'!$D$42)*'2. Cost Inputs'!$B$51</f>
        <v>78393811.199999988</v>
      </c>
      <c r="AB51" s="64">
        <f>(L51*(1+L51)^'2. Cost Inputs'!$B$6)/((1+L51)^'2. Cost Inputs'!$B$6-1)</f>
        <v>0.13147377688737219</v>
      </c>
      <c r="AC51" s="64">
        <f t="shared" si="4"/>
        <v>10306730.443059577</v>
      </c>
      <c r="AD51" s="64">
        <f>J51*24/1000/(U51/1000000)</f>
        <v>45501.751762057291</v>
      </c>
      <c r="AE51" s="64">
        <f t="shared" si="5"/>
        <v>5402198.1600586157</v>
      </c>
      <c r="AF51" s="64">
        <f t="shared" si="6"/>
        <v>900000</v>
      </c>
      <c r="AG51" s="64">
        <f t="shared" si="7"/>
        <v>5487566.784</v>
      </c>
      <c r="AH51" s="64">
        <f>R51*'2. Cost Inputs'!$D$25*Y51</f>
        <v>1900800</v>
      </c>
      <c r="AI51" s="64">
        <f>AC51+AE51+AF51+AG51+AH51+(('1. Technology Description'!$B$24/(U51/1000000)/1000)*'1. Technology Description'!$B$26*'2. Cost Inputs'!$D$28*$B$22)</f>
        <v>24003524.796871509</v>
      </c>
      <c r="AJ51" s="66">
        <f t="shared" si="8"/>
        <v>60653.222689805021</v>
      </c>
    </row>
    <row r="52" spans="1:36" ht="32.25" customHeight="1" x14ac:dyDescent="0.2">
      <c r="A52" s="9" t="s">
        <v>224</v>
      </c>
      <c r="B52" s="70">
        <f>C52*1.4</f>
        <v>210000</v>
      </c>
      <c r="C52" s="71">
        <f>'2. Cost Inputs'!D31</f>
        <v>150000</v>
      </c>
      <c r="D52" s="72">
        <f>C52*0.7</f>
        <v>105000</v>
      </c>
      <c r="E52" s="36" t="s">
        <v>225</v>
      </c>
      <c r="F52" s="214" t="s">
        <v>226</v>
      </c>
      <c r="G52" s="215"/>
      <c r="H52" s="215"/>
      <c r="I52" s="215"/>
      <c r="J52" s="59">
        <f>$D$49</f>
        <v>51.2</v>
      </c>
      <c r="K52" s="60">
        <f>($B$18+$B$19)*'2. Cost Inputs'!$B$5</f>
        <v>0.32876712328767121</v>
      </c>
      <c r="L52" s="60">
        <f>'2. Cost Inputs'!$B$7</f>
        <v>0.1</v>
      </c>
      <c r="M52" s="61">
        <f>'2. Cost Inputs'!$D$40</f>
        <v>100</v>
      </c>
      <c r="N52" s="61">
        <f>'2. Cost Inputs'!$D$41</f>
        <v>1500</v>
      </c>
      <c r="O52" s="61">
        <f>'2. Cost Inputs'!$D$43</f>
        <v>7500000</v>
      </c>
      <c r="P52" s="60">
        <f>'2. Cost Inputs'!$B$35</f>
        <v>7.0000000000000007E-2</v>
      </c>
      <c r="Q52" s="62">
        <f>'2. Cost Inputs'!$D$24</f>
        <v>0.3</v>
      </c>
      <c r="R52" s="63">
        <f>('2. Cost Inputs'!$B$25*($B$18+$B$20)*365*'2. Cost Inputs'!$B$5)</f>
        <v>2112000</v>
      </c>
      <c r="S52" s="61">
        <f>'2. Cost Inputs'!$D$31</f>
        <v>150000</v>
      </c>
      <c r="T52" s="64">
        <f>$T$50</f>
        <v>3.8170350741115989E-18</v>
      </c>
      <c r="U52" s="65">
        <f>'1. Technology Description'!$B$8*'1. Technology Description'!$B$9*T52*86400*1000</f>
        <v>405.08330528430236</v>
      </c>
      <c r="V52" s="64">
        <f t="shared" si="2"/>
        <v>4.8609996634116283E-2</v>
      </c>
      <c r="W52" s="64">
        <f t="shared" si="3"/>
        <v>8142</v>
      </c>
      <c r="X52" s="64">
        <f>W52*J52/1000</f>
        <v>416.87040000000002</v>
      </c>
      <c r="Y52" s="63">
        <f>1</f>
        <v>1</v>
      </c>
      <c r="Z52" s="64">
        <f>W52*M52+X52*N52+Y52*'2. Cost Inputs'!$D$42+Y52*O52+Y52*'2. Cost Inputs'!$D$44</f>
        <v>38964505.600000001</v>
      </c>
      <c r="AA52" s="64">
        <f>Z52*(1+'2. Cost Inputs'!$B$49+'2. Cost Inputs'!$B$50+'2. Cost Inputs'!$B$52)+(W52*M52+X52*N52+Y52*'2. Cost Inputs'!$D$42)*'2. Cost Inputs'!$B$51</f>
        <v>62636110.079999998</v>
      </c>
      <c r="AB52" s="64">
        <f>(L52*(1+L52)^'2. Cost Inputs'!$B$6)/((1+L52)^'2. Cost Inputs'!$B$6-1)</f>
        <v>0.13147377688737219</v>
      </c>
      <c r="AC52" s="64">
        <f t="shared" si="4"/>
        <v>8235005.9617508044</v>
      </c>
      <c r="AD52" s="64">
        <f>J52*24/1000/(U52/1000000)</f>
        <v>3033.4501174704869</v>
      </c>
      <c r="AE52" s="64">
        <f t="shared" si="5"/>
        <v>360146.54400390782</v>
      </c>
      <c r="AF52" s="64">
        <f t="shared" si="6"/>
        <v>900000</v>
      </c>
      <c r="AG52" s="64">
        <f t="shared" si="7"/>
        <v>4384527.7056</v>
      </c>
      <c r="AH52" s="64">
        <f>R52*'2. Cost Inputs'!$D$25*Y52</f>
        <v>1900800</v>
      </c>
      <c r="AI52" s="64">
        <f>AC52+AE52+AF52+AG52+AH52+(('1. Technology Description'!$B$24/(U52/1000000)/1000)*'1. Technology Description'!$B$26*'2. Cost Inputs'!$D$28*$B$22)</f>
        <v>15786709.621108031</v>
      </c>
      <c r="AJ52" s="66">
        <f t="shared" si="8"/>
        <v>39890.59199810314</v>
      </c>
    </row>
    <row r="53" spans="1:36" ht="19.5" customHeight="1" x14ac:dyDescent="0.2">
      <c r="A53" s="9" t="s">
        <v>227</v>
      </c>
      <c r="B53" s="73">
        <f>C53*0.6</f>
        <v>0.19726027397260273</v>
      </c>
      <c r="C53" s="58">
        <f>($B$18+$B$19)*'2. Cost Inputs'!$B$5</f>
        <v>0.32876712328767121</v>
      </c>
      <c r="D53" s="74">
        <f>C53*1.3</f>
        <v>0.42739726027397257</v>
      </c>
      <c r="E53" s="36" t="s">
        <v>64</v>
      </c>
      <c r="F53" s="214" t="s">
        <v>228</v>
      </c>
      <c r="G53" s="215"/>
      <c r="H53" s="215"/>
      <c r="I53" s="215"/>
      <c r="J53" s="59">
        <f>'1. Technology Description'!$B$10</f>
        <v>150</v>
      </c>
      <c r="K53" s="60">
        <f>($B$18+$B$19)*'2. Cost Inputs'!$B$5</f>
        <v>0.32876712328767121</v>
      </c>
      <c r="L53" s="60">
        <f>'2. Cost Inputs'!$B$7</f>
        <v>0.1</v>
      </c>
      <c r="M53" s="61">
        <f>'2. Cost Inputs'!$D$40</f>
        <v>100</v>
      </c>
      <c r="N53" s="61">
        <f>'2. Cost Inputs'!$D$41</f>
        <v>1500</v>
      </c>
      <c r="O53" s="61">
        <f>'2. Cost Inputs'!$D$43</f>
        <v>7500000</v>
      </c>
      <c r="P53" s="60">
        <f>'2. Cost Inputs'!$B$35</f>
        <v>7.0000000000000007E-2</v>
      </c>
      <c r="Q53" s="62">
        <f>'2. Cost Inputs'!$D$24</f>
        <v>0.3</v>
      </c>
      <c r="R53" s="63">
        <f>$B$51</f>
        <v>3168000</v>
      </c>
      <c r="S53" s="61">
        <f>'2. Cost Inputs'!$D$31</f>
        <v>150000</v>
      </c>
      <c r="T53" s="64">
        <f t="shared" ref="T53:T72" si="9">PI()/6*(J53*10^-9)^3*2160</f>
        <v>3.8170350741115989E-18</v>
      </c>
      <c r="U53" s="65">
        <f>'1. Technology Description'!$B$8*'1. Technology Description'!$B$9*T53*86400*1000</f>
        <v>405.08330528430236</v>
      </c>
      <c r="V53" s="64">
        <f t="shared" si="2"/>
        <v>4.8609996634116283E-2</v>
      </c>
      <c r="W53" s="64">
        <f t="shared" si="3"/>
        <v>8142</v>
      </c>
      <c r="X53" s="64">
        <f>W53*'1. Technology Description'!$B$17/1000</f>
        <v>4168.7039999999997</v>
      </c>
      <c r="Y53" s="63">
        <f>1</f>
        <v>1</v>
      </c>
      <c r="Z53" s="64">
        <f>W53*M53+X53*N53+Y53*'2. Cost Inputs'!$D$42+Y53*O53+Y53*'2. Cost Inputs'!$D$44</f>
        <v>44592256</v>
      </c>
      <c r="AA53" s="64">
        <f>Z53*(1+'2. Cost Inputs'!$B$49+'2. Cost Inputs'!$B$50+'2. Cost Inputs'!$B$52)+(W53*M53+X53*N53+Y53*'2. Cost Inputs'!$D$42)*'2. Cost Inputs'!$B$51</f>
        <v>72766060.799999997</v>
      </c>
      <c r="AB53" s="64">
        <f>(L53*(1+L53)^'2. Cost Inputs'!$B$6)/((1+L53)^'2. Cost Inputs'!$B$6-1)</f>
        <v>0.13147377688737219</v>
      </c>
      <c r="AC53" s="64">
        <f t="shared" si="4"/>
        <v>9566828.8425921593</v>
      </c>
      <c r="AD53" s="64">
        <f>'1. Technology Description'!$B$17*24/1000/(U53/1000000)</f>
        <v>30334.501174704867</v>
      </c>
      <c r="AE53" s="64">
        <f t="shared" si="5"/>
        <v>3601465.4400390782</v>
      </c>
      <c r="AF53" s="64">
        <f t="shared" si="6"/>
        <v>900000</v>
      </c>
      <c r="AG53" s="64">
        <f t="shared" si="7"/>
        <v>5093624.2560000001</v>
      </c>
      <c r="AH53" s="64">
        <f>R53*'2. Cost Inputs'!$D$25*Y53</f>
        <v>2851200</v>
      </c>
      <c r="AI53" s="64">
        <f>AC53+AE53+AF53+AG53+AH53+(('1. Technology Description'!$B$24/(U53/1000000)/1000)*'1. Technology Description'!$B$26*'2. Cost Inputs'!$D$28*$B$22)</f>
        <v>22019347.948384557</v>
      </c>
      <c r="AJ53" s="66">
        <f t="shared" si="8"/>
        <v>55639.512359107262</v>
      </c>
    </row>
    <row r="54" spans="1:36" ht="19.5" customHeight="1" x14ac:dyDescent="0.2">
      <c r="A54" s="9" t="s">
        <v>229</v>
      </c>
      <c r="B54" s="70">
        <f>'2. Cost Inputs'!$H$43</f>
        <v>1000</v>
      </c>
      <c r="C54" s="71">
        <f>'2. Cost Inputs'!D40</f>
        <v>100</v>
      </c>
      <c r="D54" s="72">
        <f>'2. Cost Inputs'!$H$41</f>
        <v>10</v>
      </c>
      <c r="E54" s="36" t="s">
        <v>230</v>
      </c>
      <c r="F54" s="216" t="s">
        <v>917</v>
      </c>
      <c r="I54" s="217" t="s">
        <v>231</v>
      </c>
      <c r="J54" s="59">
        <f>'1. Technology Description'!$B$10</f>
        <v>150</v>
      </c>
      <c r="K54" s="60">
        <f>($B$18+$B$19)*'2. Cost Inputs'!$B$5</f>
        <v>0.32876712328767121</v>
      </c>
      <c r="L54" s="60">
        <f>'2. Cost Inputs'!$B$7</f>
        <v>0.1</v>
      </c>
      <c r="M54" s="61">
        <f>'2. Cost Inputs'!$D$40</f>
        <v>100</v>
      </c>
      <c r="N54" s="61">
        <f>'2. Cost Inputs'!$D$41</f>
        <v>1500</v>
      </c>
      <c r="O54" s="61">
        <f>'2. Cost Inputs'!$D$43</f>
        <v>7500000</v>
      </c>
      <c r="P54" s="60">
        <f>'2. Cost Inputs'!$B$35</f>
        <v>7.0000000000000007E-2</v>
      </c>
      <c r="Q54" s="62">
        <f>'2. Cost Inputs'!$D$24</f>
        <v>0.3</v>
      </c>
      <c r="R54" s="63">
        <f>$D$51</f>
        <v>1056000</v>
      </c>
      <c r="S54" s="61">
        <f>'2. Cost Inputs'!$D$31</f>
        <v>150000</v>
      </c>
      <c r="T54" s="64">
        <f t="shared" si="9"/>
        <v>3.8170350741115989E-18</v>
      </c>
      <c r="U54" s="65">
        <f>'1. Technology Description'!$B$8*'1. Technology Description'!$B$9*T54*86400*1000</f>
        <v>405.08330528430236</v>
      </c>
      <c r="V54" s="64">
        <f t="shared" si="2"/>
        <v>4.8609996634116283E-2</v>
      </c>
      <c r="W54" s="64">
        <f t="shared" si="3"/>
        <v>8142</v>
      </c>
      <c r="X54" s="64">
        <f>W54*'1. Technology Description'!$B$17/1000</f>
        <v>4168.7039999999997</v>
      </c>
      <c r="Y54" s="63">
        <f>1</f>
        <v>1</v>
      </c>
      <c r="Z54" s="64">
        <f>W54*M54+X54*N54+Y54*'2. Cost Inputs'!$D$42+Y54*O54+Y54*'2. Cost Inputs'!$D$44</f>
        <v>44592256</v>
      </c>
      <c r="AA54" s="64">
        <f>Z54*(1+'2. Cost Inputs'!$B$49+'2. Cost Inputs'!$B$50+'2. Cost Inputs'!$B$52)+(W54*M54+X54*N54+Y54*'2. Cost Inputs'!$D$42)*'2. Cost Inputs'!$B$51</f>
        <v>72766060.799999997</v>
      </c>
      <c r="AB54" s="64">
        <f>(L54*(1+L54)^'2. Cost Inputs'!$B$6)/((1+L54)^'2. Cost Inputs'!$B$6-1)</f>
        <v>0.13147377688737219</v>
      </c>
      <c r="AC54" s="64">
        <f t="shared" si="4"/>
        <v>9566828.8425921593</v>
      </c>
      <c r="AD54" s="64">
        <f>'1. Technology Description'!$B$17*24/1000/(U54/1000000)</f>
        <v>30334.501174704867</v>
      </c>
      <c r="AE54" s="64">
        <f t="shared" si="5"/>
        <v>3601465.4400390782</v>
      </c>
      <c r="AF54" s="64">
        <f t="shared" si="6"/>
        <v>900000</v>
      </c>
      <c r="AG54" s="64">
        <f t="shared" si="7"/>
        <v>5093624.2560000001</v>
      </c>
      <c r="AH54" s="64">
        <f>R54*'2. Cost Inputs'!$D$25*Y54</f>
        <v>950400</v>
      </c>
      <c r="AI54" s="64">
        <f>AC54+AE54+AF54+AG54+AH54+(('1. Technology Description'!$B$24/(U54/1000000)/1000)*'1. Technology Description'!$B$26*'2. Cost Inputs'!$D$28*$B$22)</f>
        <v>20118547.948384557</v>
      </c>
      <c r="AJ54" s="66">
        <f t="shared" si="8"/>
        <v>50836.482526430038</v>
      </c>
    </row>
    <row r="55" spans="1:36" ht="19.5" customHeight="1" x14ac:dyDescent="0.2">
      <c r="A55" s="9" t="s">
        <v>232</v>
      </c>
      <c r="B55" s="70">
        <f>C55*1.5</f>
        <v>56250000</v>
      </c>
      <c r="C55" s="71">
        <f>'2. Cost Inputs'!D43+'2. Cost Inputs'!D44</f>
        <v>37500000</v>
      </c>
      <c r="D55" s="72">
        <f>C55*0.6</f>
        <v>22500000</v>
      </c>
      <c r="E55" s="36" t="s">
        <v>233</v>
      </c>
      <c r="F55" s="216" t="s">
        <v>234</v>
      </c>
      <c r="I55" s="217" t="s">
        <v>235</v>
      </c>
      <c r="J55" s="59">
        <f>'1. Technology Description'!$B$10</f>
        <v>150</v>
      </c>
      <c r="K55" s="60">
        <f>($B$18+$B$19)*'2. Cost Inputs'!$B$5</f>
        <v>0.32876712328767121</v>
      </c>
      <c r="L55" s="60">
        <f>'2. Cost Inputs'!$B$7</f>
        <v>0.1</v>
      </c>
      <c r="M55" s="61">
        <f>'2. Cost Inputs'!$D$40</f>
        <v>100</v>
      </c>
      <c r="N55" s="61">
        <f>'2. Cost Inputs'!$D$41</f>
        <v>1500</v>
      </c>
      <c r="O55" s="61">
        <f>'2. Cost Inputs'!$D$43</f>
        <v>7500000</v>
      </c>
      <c r="P55" s="60">
        <f>'2. Cost Inputs'!$B$35</f>
        <v>7.0000000000000007E-2</v>
      </c>
      <c r="Q55" s="62">
        <f>'2. Cost Inputs'!$D$24</f>
        <v>0.3</v>
      </c>
      <c r="R55" s="63">
        <f>('2. Cost Inputs'!$B$25*($B$18+$B$20)*365*'2. Cost Inputs'!$B$5)</f>
        <v>2112000</v>
      </c>
      <c r="S55" s="61">
        <f>$B$52</f>
        <v>210000</v>
      </c>
      <c r="T55" s="64">
        <f t="shared" si="9"/>
        <v>3.8170350741115989E-18</v>
      </c>
      <c r="U55" s="65">
        <f>'1. Technology Description'!$B$8*'1. Technology Description'!$B$9*T55*86400*1000</f>
        <v>405.08330528430236</v>
      </c>
      <c r="V55" s="64">
        <f t="shared" si="2"/>
        <v>4.8609996634116283E-2</v>
      </c>
      <c r="W55" s="64">
        <f t="shared" si="3"/>
        <v>8142</v>
      </c>
      <c r="X55" s="64">
        <f>W55*'1. Technology Description'!$B$17/1000</f>
        <v>4168.7039999999997</v>
      </c>
      <c r="Y55" s="63">
        <f>1</f>
        <v>1</v>
      </c>
      <c r="Z55" s="64">
        <f>W55*M55+X55*N55+Y55*'2. Cost Inputs'!$D$42+Y55*O55+Y55*'2. Cost Inputs'!$D$44</f>
        <v>44592256</v>
      </c>
      <c r="AA55" s="64">
        <f>Z55*(1+'2. Cost Inputs'!$B$49+'2. Cost Inputs'!$B$50+'2. Cost Inputs'!$B$52)+(W55*M55+X55*N55+Y55*'2. Cost Inputs'!$D$42)*'2. Cost Inputs'!$B$51</f>
        <v>72766060.799999997</v>
      </c>
      <c r="AB55" s="64">
        <f>(L55*(1+L55)^'2. Cost Inputs'!$B$6)/((1+L55)^'2. Cost Inputs'!$B$6-1)</f>
        <v>0.13147377688737219</v>
      </c>
      <c r="AC55" s="64">
        <f t="shared" si="4"/>
        <v>9566828.8425921593</v>
      </c>
      <c r="AD55" s="64">
        <f>'1. Technology Description'!$B$17*24/1000/(U55/1000000)</f>
        <v>30334.501174704867</v>
      </c>
      <c r="AE55" s="64">
        <f t="shared" si="5"/>
        <v>3601465.4400390782</v>
      </c>
      <c r="AF55" s="64">
        <f t="shared" si="6"/>
        <v>1260000</v>
      </c>
      <c r="AG55" s="64">
        <f t="shared" si="7"/>
        <v>5093624.2560000001</v>
      </c>
      <c r="AH55" s="64">
        <f>R55*'2. Cost Inputs'!$D$25*Y55</f>
        <v>1900800</v>
      </c>
      <c r="AI55" s="64">
        <f>AC55+AE55+AF55+AG55+AH55+(('1. Technology Description'!$B$24/(U55/1000000)/1000)*'1. Technology Description'!$B$26*'2. Cost Inputs'!$D$28*$B$22)</f>
        <v>21428947.948384557</v>
      </c>
      <c r="AJ55" s="66">
        <f t="shared" si="8"/>
        <v>54147.662183806002</v>
      </c>
    </row>
    <row r="56" spans="1:36" ht="19.5" customHeight="1" x14ac:dyDescent="0.2">
      <c r="A56" s="9" t="s">
        <v>236</v>
      </c>
      <c r="B56" s="73">
        <f>C56*1.6</f>
        <v>0.11200000000000002</v>
      </c>
      <c r="C56" s="58">
        <f>'2. Cost Inputs'!B35</f>
        <v>7.0000000000000007E-2</v>
      </c>
      <c r="D56" s="74">
        <f>C56*0.5</f>
        <v>3.5000000000000003E-2</v>
      </c>
      <c r="E56" s="36" t="s">
        <v>110</v>
      </c>
      <c r="F56" s="360" t="s">
        <v>237</v>
      </c>
      <c r="G56" s="360"/>
      <c r="H56" s="360"/>
      <c r="I56" s="360"/>
      <c r="J56" s="59">
        <f>'1. Technology Description'!$B$10</f>
        <v>150</v>
      </c>
      <c r="K56" s="60">
        <f>($B$18+$B$19)*'2. Cost Inputs'!$B$5</f>
        <v>0.32876712328767121</v>
      </c>
      <c r="L56" s="60">
        <f>'2. Cost Inputs'!$B$7</f>
        <v>0.1</v>
      </c>
      <c r="M56" s="61">
        <f>'2. Cost Inputs'!$D$40</f>
        <v>100</v>
      </c>
      <c r="N56" s="61">
        <f>'2. Cost Inputs'!$D$41</f>
        <v>1500</v>
      </c>
      <c r="O56" s="61">
        <f>'2. Cost Inputs'!$D$43</f>
        <v>7500000</v>
      </c>
      <c r="P56" s="60">
        <f>'2. Cost Inputs'!$B$35</f>
        <v>7.0000000000000007E-2</v>
      </c>
      <c r="Q56" s="62">
        <f>'2. Cost Inputs'!$D$24</f>
        <v>0.3</v>
      </c>
      <c r="R56" s="63">
        <f>('2. Cost Inputs'!$B$25*($B$18+$B$20)*365*'2. Cost Inputs'!$B$5)</f>
        <v>2112000</v>
      </c>
      <c r="S56" s="61">
        <f>$D$52</f>
        <v>105000</v>
      </c>
      <c r="T56" s="64">
        <f t="shared" si="9"/>
        <v>3.8170350741115989E-18</v>
      </c>
      <c r="U56" s="65">
        <f>'1. Technology Description'!$B$8*'1. Technology Description'!$B$9*T56*86400*1000</f>
        <v>405.08330528430236</v>
      </c>
      <c r="V56" s="64">
        <f t="shared" si="2"/>
        <v>4.8609996634116283E-2</v>
      </c>
      <c r="W56" s="64">
        <f t="shared" si="3"/>
        <v>8142</v>
      </c>
      <c r="X56" s="64">
        <f>W56*'1. Technology Description'!$B$17/1000</f>
        <v>4168.7039999999997</v>
      </c>
      <c r="Y56" s="63">
        <f>1</f>
        <v>1</v>
      </c>
      <c r="Z56" s="64">
        <f>W56*M56+X56*N56+Y56*'2. Cost Inputs'!$D$42+Y56*O56+Y56*'2. Cost Inputs'!$D$44</f>
        <v>44592256</v>
      </c>
      <c r="AA56" s="64">
        <f>Z56*(1+'2. Cost Inputs'!$B$49+'2. Cost Inputs'!$B$50+'2. Cost Inputs'!$B$52)+(W56*M56+X56*N56+Y56*'2. Cost Inputs'!$D$42)*'2. Cost Inputs'!$B$51</f>
        <v>72766060.799999997</v>
      </c>
      <c r="AB56" s="64">
        <f>(L56*(1+L56)^'2. Cost Inputs'!$B$6)/((1+L56)^'2. Cost Inputs'!$B$6-1)</f>
        <v>0.13147377688737219</v>
      </c>
      <c r="AC56" s="64">
        <f t="shared" si="4"/>
        <v>9566828.8425921593</v>
      </c>
      <c r="AD56" s="64">
        <f>'1. Technology Description'!$B$17*24/1000/(U56/1000000)</f>
        <v>30334.501174704867</v>
      </c>
      <c r="AE56" s="64">
        <f t="shared" si="5"/>
        <v>3601465.4400390782</v>
      </c>
      <c r="AF56" s="64">
        <f t="shared" si="6"/>
        <v>630000</v>
      </c>
      <c r="AG56" s="64">
        <f t="shared" si="7"/>
        <v>5093624.2560000001</v>
      </c>
      <c r="AH56" s="64">
        <f>R56*'2. Cost Inputs'!$D$25*Y56</f>
        <v>1900800</v>
      </c>
      <c r="AI56" s="64">
        <f>AC56+AE56+AF56+AG56+AH56+(('1. Technology Description'!$B$24/(U56/1000000)/1000)*'1. Technology Description'!$B$26*'2. Cost Inputs'!$D$28*$B$22)</f>
        <v>20798947.948384557</v>
      </c>
      <c r="AJ56" s="66">
        <f t="shared" si="8"/>
        <v>52555.74888699063</v>
      </c>
    </row>
    <row r="57" spans="1:36" ht="19.5" customHeight="1" x14ac:dyDescent="0.2">
      <c r="A57" s="9" t="s">
        <v>71</v>
      </c>
      <c r="B57" s="73">
        <f>C57*1.5</f>
        <v>0.15000000000000002</v>
      </c>
      <c r="C57" s="58">
        <f>'2. Cost Inputs'!B7</f>
        <v>0.1</v>
      </c>
      <c r="D57" s="74">
        <f>C57*0.6</f>
        <v>0.06</v>
      </c>
      <c r="E57" s="36" t="s">
        <v>64</v>
      </c>
      <c r="F57" s="216" t="s">
        <v>72</v>
      </c>
      <c r="I57" s="217" t="s">
        <v>238</v>
      </c>
      <c r="J57" s="59">
        <f>'1. Technology Description'!$B$10</f>
        <v>150</v>
      </c>
      <c r="K57" s="60">
        <f>$B$53</f>
        <v>0.19726027397260273</v>
      </c>
      <c r="L57" s="60">
        <f>'2. Cost Inputs'!$B$7</f>
        <v>0.1</v>
      </c>
      <c r="M57" s="61">
        <f>'2. Cost Inputs'!$D$40</f>
        <v>100</v>
      </c>
      <c r="N57" s="61">
        <f>'2. Cost Inputs'!$D$41</f>
        <v>1500</v>
      </c>
      <c r="O57" s="61">
        <f>'2. Cost Inputs'!$D$43</f>
        <v>7500000</v>
      </c>
      <c r="P57" s="60">
        <f>'2. Cost Inputs'!$B$35</f>
        <v>7.0000000000000007E-2</v>
      </c>
      <c r="Q57" s="62">
        <f>'2. Cost Inputs'!$D$24</f>
        <v>0.3</v>
      </c>
      <c r="R57" s="63">
        <f>('2. Cost Inputs'!$B$25*($B$18+$B$20)*365*'2. Cost Inputs'!$B$5)</f>
        <v>2112000</v>
      </c>
      <c r="S57" s="61">
        <f>'2. Cost Inputs'!$D$31</f>
        <v>150000</v>
      </c>
      <c r="T57" s="64">
        <f t="shared" si="9"/>
        <v>3.8170350741115989E-18</v>
      </c>
      <c r="U57" s="65">
        <f>'1. Technology Description'!$B$8*'1. Technology Description'!$B$9*T57*86400*1000</f>
        <v>405.08330528430236</v>
      </c>
      <c r="V57" s="64">
        <f t="shared" si="2"/>
        <v>2.9165997980469767E-2</v>
      </c>
      <c r="W57" s="64">
        <f t="shared" si="3"/>
        <v>13569</v>
      </c>
      <c r="X57" s="64">
        <f>W57*'1. Technology Description'!$B$17/1000</f>
        <v>6947.3280000000004</v>
      </c>
      <c r="Y57" s="63">
        <f>1</f>
        <v>1</v>
      </c>
      <c r="Z57" s="64">
        <f>W57*M57+X57*N57+Y57*'2. Cost Inputs'!$D$42+Y57*O57+Y57*'2. Cost Inputs'!$D$44</f>
        <v>49302892</v>
      </c>
      <c r="AA57" s="64">
        <f>Z57*(1+'2. Cost Inputs'!$B$49+'2. Cost Inputs'!$B$50+'2. Cost Inputs'!$B$52)+(W57*M57+X57*N57+Y57*'2. Cost Inputs'!$D$42)*'2. Cost Inputs'!$B$51</f>
        <v>81245205.599999994</v>
      </c>
      <c r="AB57" s="64">
        <f>(L57*(1+L57)^'2. Cost Inputs'!$B$6)/((1+L57)^'2. Cost Inputs'!$B$6-1)</f>
        <v>0.13147377688737219</v>
      </c>
      <c r="AC57" s="64">
        <f t="shared" si="4"/>
        <v>10681614.034223082</v>
      </c>
      <c r="AD57" s="64">
        <f>'1. Technology Description'!$B$17*24/1000/(U57/1000000)</f>
        <v>30334.501174704867</v>
      </c>
      <c r="AE57" s="64">
        <f t="shared" si="5"/>
        <v>3601465.4400390782</v>
      </c>
      <c r="AF57" s="64">
        <f t="shared" si="6"/>
        <v>900000</v>
      </c>
      <c r="AG57" s="64">
        <f t="shared" si="7"/>
        <v>5687164.392</v>
      </c>
      <c r="AH57" s="64">
        <f>R57*'2. Cost Inputs'!$D$25*Y57</f>
        <v>1900800</v>
      </c>
      <c r="AI57" s="64">
        <f>AC57+AE57+AF57+AG57+AH57+(('1. Technology Description'!$B$24/(U57/1000000)/1000)*'1. Technology Description'!$B$26*'2. Cost Inputs'!$D$28*$B$22)</f>
        <v>22777273.276015479</v>
      </c>
      <c r="AJ57" s="66">
        <f t="shared" si="8"/>
        <v>57554.673322676797</v>
      </c>
    </row>
    <row r="58" spans="1:36" ht="19.5" customHeight="1" x14ac:dyDescent="0.2">
      <c r="A58" s="9" t="s">
        <v>239</v>
      </c>
      <c r="B58" s="75">
        <f>C58*1.5</f>
        <v>0.44999999999999996</v>
      </c>
      <c r="C58" s="76">
        <f>'2. Cost Inputs'!D24</f>
        <v>0.3</v>
      </c>
      <c r="D58" s="77">
        <f>C58*0.6</f>
        <v>0.18</v>
      </c>
      <c r="E58" s="36" t="s">
        <v>240</v>
      </c>
      <c r="F58" s="216" t="s">
        <v>241</v>
      </c>
      <c r="I58" s="217" t="s">
        <v>242</v>
      </c>
      <c r="J58" s="59">
        <f>'1. Technology Description'!$B$10</f>
        <v>150</v>
      </c>
      <c r="K58" s="60">
        <f>$D$53</f>
        <v>0.42739726027397257</v>
      </c>
      <c r="L58" s="60">
        <f>'2. Cost Inputs'!$B$7</f>
        <v>0.1</v>
      </c>
      <c r="M58" s="61">
        <f>'2. Cost Inputs'!$D$40</f>
        <v>100</v>
      </c>
      <c r="N58" s="61">
        <f>'2. Cost Inputs'!$D$41</f>
        <v>1500</v>
      </c>
      <c r="O58" s="61">
        <f>'2. Cost Inputs'!$D$43</f>
        <v>7500000</v>
      </c>
      <c r="P58" s="60">
        <f>'2. Cost Inputs'!$B$35</f>
        <v>7.0000000000000007E-2</v>
      </c>
      <c r="Q58" s="62">
        <f>'2. Cost Inputs'!$D$24</f>
        <v>0.3</v>
      </c>
      <c r="R58" s="63">
        <f>('2. Cost Inputs'!$B$25*($B$18+$B$20)*365*'2. Cost Inputs'!$B$5)</f>
        <v>2112000</v>
      </c>
      <c r="S58" s="61">
        <f>'2. Cost Inputs'!$D$31</f>
        <v>150000</v>
      </c>
      <c r="T58" s="64">
        <f t="shared" si="9"/>
        <v>3.8170350741115989E-18</v>
      </c>
      <c r="U58" s="65">
        <f>'1. Technology Description'!$B$8*'1. Technology Description'!$B$9*T58*86400*1000</f>
        <v>405.08330528430236</v>
      </c>
      <c r="V58" s="64">
        <f t="shared" si="2"/>
        <v>6.3192995624351156E-2</v>
      </c>
      <c r="W58" s="64">
        <f t="shared" si="3"/>
        <v>6263</v>
      </c>
      <c r="X58" s="64">
        <f>W58*'1. Technology Description'!$B$17/1000</f>
        <v>3206.6559999999999</v>
      </c>
      <c r="Y58" s="63">
        <f>1</f>
        <v>1</v>
      </c>
      <c r="Z58" s="64">
        <f>W58*M58+X58*N58+Y58*'2. Cost Inputs'!$D$42+Y58*O58+Y58*'2. Cost Inputs'!$D$44</f>
        <v>42961284</v>
      </c>
      <c r="AA58" s="64">
        <f>Z58*(1+'2. Cost Inputs'!$B$49+'2. Cost Inputs'!$B$50+'2. Cost Inputs'!$B$52)+(W58*M58+X58*N58+Y58*'2. Cost Inputs'!$D$42)*'2. Cost Inputs'!$B$51</f>
        <v>69830311.199999988</v>
      </c>
      <c r="AB58" s="64">
        <f>(L58*(1+L58)^'2. Cost Inputs'!$B$6)/((1+L58)^'2. Cost Inputs'!$B$6-1)</f>
        <v>0.13147377688737219</v>
      </c>
      <c r="AC58" s="64">
        <f t="shared" si="4"/>
        <v>9180854.7546845656</v>
      </c>
      <c r="AD58" s="64">
        <f>'1. Technology Description'!$B$17*24/1000/(U58/1000000)</f>
        <v>30334.501174704867</v>
      </c>
      <c r="AE58" s="64">
        <f t="shared" si="5"/>
        <v>3601465.4400390782</v>
      </c>
      <c r="AF58" s="64">
        <f t="shared" si="6"/>
        <v>900000</v>
      </c>
      <c r="AG58" s="64">
        <f t="shared" si="7"/>
        <v>4888121.784</v>
      </c>
      <c r="AH58" s="64">
        <f>R58*'2. Cost Inputs'!$D$25*Y58</f>
        <v>1900800</v>
      </c>
      <c r="AI58" s="64">
        <f>AC58+AE58+AF58+AG58+AH58+(('1. Technology Description'!$B$24/(U58/1000000)/1000)*'1. Technology Description'!$B$26*'2. Cost Inputs'!$D$28*$B$22)</f>
        <v>20477471.388476964</v>
      </c>
      <c r="AJ58" s="66">
        <f t="shared" si="8"/>
        <v>51743.426965829742</v>
      </c>
    </row>
    <row r="59" spans="1:36" ht="19.5" customHeight="1" x14ac:dyDescent="0.2">
      <c r="A59" s="9" t="s">
        <v>243</v>
      </c>
      <c r="B59" s="70">
        <f>C59*1.5</f>
        <v>2250</v>
      </c>
      <c r="C59" s="71">
        <f>'2. Cost Inputs'!D41</f>
        <v>1500</v>
      </c>
      <c r="D59" s="72">
        <f>C59*0.6</f>
        <v>900</v>
      </c>
      <c r="E59" s="10" t="s">
        <v>244</v>
      </c>
      <c r="F59" s="218" t="s">
        <v>245</v>
      </c>
      <c r="I59" s="217" t="s">
        <v>246</v>
      </c>
      <c r="J59" s="59">
        <f>'1. Technology Description'!$B$10</f>
        <v>150</v>
      </c>
      <c r="K59" s="60">
        <f>($B$18+$B$19)*'2. Cost Inputs'!$B$5</f>
        <v>0.32876712328767121</v>
      </c>
      <c r="L59" s="60">
        <f>'2. Cost Inputs'!$B$7</f>
        <v>0.1</v>
      </c>
      <c r="M59" s="61">
        <f>$B$54</f>
        <v>1000</v>
      </c>
      <c r="N59" s="61">
        <f>'2. Cost Inputs'!$D$41</f>
        <v>1500</v>
      </c>
      <c r="O59" s="61">
        <f>'2. Cost Inputs'!$D$43</f>
        <v>7500000</v>
      </c>
      <c r="P59" s="60">
        <f>'2. Cost Inputs'!$B$35</f>
        <v>7.0000000000000007E-2</v>
      </c>
      <c r="Q59" s="62">
        <f>'2. Cost Inputs'!$D$24</f>
        <v>0.3</v>
      </c>
      <c r="R59" s="63">
        <f>('2. Cost Inputs'!$B$25*($B$18+$B$20)*365*'2. Cost Inputs'!$B$5)</f>
        <v>2112000</v>
      </c>
      <c r="S59" s="61">
        <f>'2. Cost Inputs'!$D$31</f>
        <v>150000</v>
      </c>
      <c r="T59" s="64">
        <f t="shared" si="9"/>
        <v>3.8170350741115989E-18</v>
      </c>
      <c r="U59" s="65">
        <f>'1. Technology Description'!$B$8*'1. Technology Description'!$B$9*T59*86400*1000</f>
        <v>405.08330528430236</v>
      </c>
      <c r="V59" s="64">
        <f t="shared" si="2"/>
        <v>4.8609996634116283E-2</v>
      </c>
      <c r="W59" s="64">
        <f t="shared" si="3"/>
        <v>8142</v>
      </c>
      <c r="X59" s="64">
        <f>W59*'1. Technology Description'!$B$17/1000</f>
        <v>4168.7039999999997</v>
      </c>
      <c r="Y59" s="63">
        <f>1</f>
        <v>1</v>
      </c>
      <c r="Z59" s="64">
        <f>W59*M59+X59*N59+Y59*'2. Cost Inputs'!$D$42+Y59*O59+Y59*'2. Cost Inputs'!$D$44</f>
        <v>51920056</v>
      </c>
      <c r="AA59" s="64">
        <f>Z59*(1+'2. Cost Inputs'!$B$49+'2. Cost Inputs'!$B$50+'2. Cost Inputs'!$B$52)+(W59*M59+X59*N59+Y59*'2. Cost Inputs'!$D$42)*'2. Cost Inputs'!$B$51</f>
        <v>85956100.799999997</v>
      </c>
      <c r="AB59" s="64">
        <f>(L59*(1+L59)^'2. Cost Inputs'!$B$6)/((1+L59)^'2. Cost Inputs'!$B$6-1)</f>
        <v>0.13147377688737219</v>
      </c>
      <c r="AC59" s="64">
        <f t="shared" si="4"/>
        <v>11300973.218687674</v>
      </c>
      <c r="AD59" s="64">
        <f>'1. Technology Description'!$B$17*24/1000/(U59/1000000)</f>
        <v>30334.501174704867</v>
      </c>
      <c r="AE59" s="64">
        <f t="shared" si="5"/>
        <v>3601465.4400390782</v>
      </c>
      <c r="AF59" s="64">
        <f t="shared" si="6"/>
        <v>900000</v>
      </c>
      <c r="AG59" s="64">
        <f t="shared" si="7"/>
        <v>6016927.0560000008</v>
      </c>
      <c r="AH59" s="64">
        <f>R59*'2. Cost Inputs'!$D$25*Y59</f>
        <v>1900800</v>
      </c>
      <c r="AI59" s="64">
        <f>AC59+AE59+AF59+AG59+AH59+(('1. Technology Description'!$B$24/(U59/1000000)/1000)*'1. Technology Description'!$B$26*'2. Cost Inputs'!$D$28*$B$22)</f>
        <v>23726395.124480072</v>
      </c>
      <c r="AJ59" s="66">
        <f t="shared" si="8"/>
        <v>59952.958546278016</v>
      </c>
    </row>
    <row r="60" spans="1:36" ht="30" customHeight="1" x14ac:dyDescent="0.2">
      <c r="A60" s="9"/>
      <c r="B60" s="78"/>
      <c r="C60" s="12"/>
      <c r="D60" s="79"/>
      <c r="E60" s="10"/>
      <c r="F60" s="354"/>
      <c r="G60" s="354"/>
      <c r="H60" s="354"/>
      <c r="I60" s="354"/>
      <c r="J60" s="59">
        <f>'1. Technology Description'!$B$10</f>
        <v>150</v>
      </c>
      <c r="K60" s="60">
        <f>($B$18+$B$19)*'2. Cost Inputs'!$B$5</f>
        <v>0.32876712328767121</v>
      </c>
      <c r="L60" s="60">
        <f>'2. Cost Inputs'!$B$7</f>
        <v>0.1</v>
      </c>
      <c r="M60" s="61">
        <f>$D$54</f>
        <v>10</v>
      </c>
      <c r="N60" s="61">
        <f>'2. Cost Inputs'!$D$41</f>
        <v>1500</v>
      </c>
      <c r="O60" s="61">
        <f>'2. Cost Inputs'!$D$43</f>
        <v>7500000</v>
      </c>
      <c r="P60" s="60">
        <f>'2. Cost Inputs'!$B$35</f>
        <v>7.0000000000000007E-2</v>
      </c>
      <c r="Q60" s="62">
        <f>'2. Cost Inputs'!$D$24</f>
        <v>0.3</v>
      </c>
      <c r="R60" s="63">
        <f>('2. Cost Inputs'!$B$25*($B$18+$B$20)*365*'2. Cost Inputs'!$B$5)</f>
        <v>2112000</v>
      </c>
      <c r="S60" s="61">
        <f>'2. Cost Inputs'!$D$31</f>
        <v>150000</v>
      </c>
      <c r="T60" s="64">
        <f t="shared" si="9"/>
        <v>3.8170350741115989E-18</v>
      </c>
      <c r="U60" s="65">
        <f>'1. Technology Description'!$B$8*'1. Technology Description'!$B$9*T60*86400*1000</f>
        <v>405.08330528430236</v>
      </c>
      <c r="V60" s="64">
        <f t="shared" si="2"/>
        <v>4.8609996634116283E-2</v>
      </c>
      <c r="W60" s="64">
        <f t="shared" si="3"/>
        <v>8142</v>
      </c>
      <c r="X60" s="64">
        <f>W60*'1. Technology Description'!$B$17/1000</f>
        <v>4168.7039999999997</v>
      </c>
      <c r="Y60" s="63">
        <f>1</f>
        <v>1</v>
      </c>
      <c r="Z60" s="64">
        <f>W60*M60+X60*N60+Y60*'2. Cost Inputs'!$D$42+Y60*O60+Y60*'2. Cost Inputs'!$D$44</f>
        <v>43859476</v>
      </c>
      <c r="AA60" s="64">
        <f>Z60*(1+'2. Cost Inputs'!$B$49+'2. Cost Inputs'!$B$50+'2. Cost Inputs'!$B$52)+(W60*M60+X60*N60+Y60*'2. Cost Inputs'!$D$42)*'2. Cost Inputs'!$B$51</f>
        <v>71447056.799999997</v>
      </c>
      <c r="AB60" s="64">
        <f>(L60*(1+L60)^'2. Cost Inputs'!$B$6)/((1+L60)^'2. Cost Inputs'!$B$6-1)</f>
        <v>0.13147377688737219</v>
      </c>
      <c r="AC60" s="64">
        <f t="shared" si="4"/>
        <v>9393414.4049826078</v>
      </c>
      <c r="AD60" s="64">
        <f>'1. Technology Description'!$B$17*24/1000/(U60/1000000)</f>
        <v>30334.501174704867</v>
      </c>
      <c r="AE60" s="64">
        <f t="shared" si="5"/>
        <v>3601465.4400390782</v>
      </c>
      <c r="AF60" s="64">
        <f t="shared" si="6"/>
        <v>900000</v>
      </c>
      <c r="AG60" s="64">
        <f t="shared" si="7"/>
        <v>5001293.9760000007</v>
      </c>
      <c r="AH60" s="64">
        <f>R60*'2. Cost Inputs'!$D$25*Y60</f>
        <v>1900800</v>
      </c>
      <c r="AI60" s="64">
        <f>AC60+AE60+AF60+AG60+AH60+(('1. Technology Description'!$B$24/(U60/1000000)/1000)*'1. Technology Description'!$B$26*'2. Cost Inputs'!$D$28*$B$22)</f>
        <v>20803203.230775006</v>
      </c>
      <c r="AJ60" s="66">
        <f t="shared" si="8"/>
        <v>52566.501332417713</v>
      </c>
    </row>
    <row r="61" spans="1:36" ht="18" customHeight="1" x14ac:dyDescent="0.2">
      <c r="A61" s="80"/>
      <c r="B61" s="81"/>
      <c r="C61" s="82"/>
      <c r="D61" s="83"/>
      <c r="E61" s="80"/>
      <c r="F61" s="17"/>
      <c r="I61" s="14" t="s">
        <v>247</v>
      </c>
      <c r="J61" s="85">
        <f>'1. Technology Description'!$B$10</f>
        <v>150</v>
      </c>
      <c r="K61" s="86">
        <f>($B$18+$B$19)*'2. Cost Inputs'!$B$5</f>
        <v>0.32876712328767121</v>
      </c>
      <c r="L61" s="86">
        <f>'2. Cost Inputs'!$B$7</f>
        <v>0.1</v>
      </c>
      <c r="M61" s="87">
        <f>'2. Cost Inputs'!$D$40</f>
        <v>100</v>
      </c>
      <c r="N61" s="87">
        <f>'2. Cost Inputs'!$D$41</f>
        <v>1500</v>
      </c>
      <c r="O61" s="87">
        <f>$B$55</f>
        <v>56250000</v>
      </c>
      <c r="P61" s="86">
        <f>'2. Cost Inputs'!$B$35</f>
        <v>7.0000000000000007E-2</v>
      </c>
      <c r="Q61" s="88">
        <f>'2. Cost Inputs'!$D$24</f>
        <v>0.3</v>
      </c>
      <c r="R61" s="89">
        <f>('2. Cost Inputs'!$B$25*($B$18+$B$20)*365*'2. Cost Inputs'!$B$5)</f>
        <v>2112000</v>
      </c>
      <c r="S61" s="87">
        <f>'2. Cost Inputs'!$D$31</f>
        <v>150000</v>
      </c>
      <c r="T61" s="90">
        <f t="shared" si="9"/>
        <v>3.8170350741115989E-18</v>
      </c>
      <c r="U61" s="91">
        <f>'1. Technology Description'!$B$8*'1. Technology Description'!$B$9*T61*86400*1000</f>
        <v>405.08330528430236</v>
      </c>
      <c r="V61" s="90">
        <f t="shared" si="2"/>
        <v>4.8609996634116283E-2</v>
      </c>
      <c r="W61" s="90">
        <f t="shared" si="3"/>
        <v>8142</v>
      </c>
      <c r="X61" s="90">
        <f>W61*'1. Technology Description'!$B$17/1000</f>
        <v>4168.7039999999997</v>
      </c>
      <c r="Y61" s="63">
        <f>1</f>
        <v>1</v>
      </c>
      <c r="Z61" s="90">
        <f>W61*M61+X61*N61+Y61*'2. Cost Inputs'!$D$42+Y61*O61</f>
        <v>63342256</v>
      </c>
      <c r="AA61" s="90">
        <f>Z61*(1+'2. Cost Inputs'!$B$49+'2. Cost Inputs'!$B$50+'2. Cost Inputs'!$B$52)+(W61*M61+X61*N61+Y61*'2. Cost Inputs'!$D$42)*'2. Cost Inputs'!$B$51</f>
        <v>102766060.8</v>
      </c>
      <c r="AB61" s="90">
        <f>(L61*(1+L61)^'2. Cost Inputs'!$B$6)/((1+L61)^'2. Cost Inputs'!$B$6-1)</f>
        <v>0.13147377688737219</v>
      </c>
      <c r="AC61" s="90">
        <f t="shared" si="4"/>
        <v>13511042.149213325</v>
      </c>
      <c r="AD61" s="90">
        <f>'1. Technology Description'!$B$17*24/1000/(U61/1000000)</f>
        <v>30334.501174704867</v>
      </c>
      <c r="AE61" s="90">
        <f t="shared" si="5"/>
        <v>3601465.4400390782</v>
      </c>
      <c r="AF61" s="90">
        <f t="shared" si="6"/>
        <v>900000</v>
      </c>
      <c r="AG61" s="90">
        <f t="shared" si="7"/>
        <v>7193624.2560000001</v>
      </c>
      <c r="AH61" s="90">
        <f>R61*'2. Cost Inputs'!$D$25*Y61</f>
        <v>1900800</v>
      </c>
      <c r="AI61" s="90">
        <f>AC61+AE61+AF61+AG61+AH61+(('1. Technology Description'!$B$24/(U61/1000000)/1000)*'1. Technology Description'!$B$26*'2. Cost Inputs'!$D$28*$B$22)</f>
        <v>27113161.255005725</v>
      </c>
      <c r="AJ61" s="92">
        <f t="shared" si="8"/>
        <v>68510.79669927439</v>
      </c>
    </row>
    <row r="62" spans="1:36" ht="19.5" customHeight="1" x14ac:dyDescent="0.2">
      <c r="A62" s="6" t="s">
        <v>248</v>
      </c>
      <c r="I62" s="14" t="s">
        <v>249</v>
      </c>
      <c r="J62" s="85">
        <f>'1. Technology Description'!$B$10</f>
        <v>150</v>
      </c>
      <c r="K62" s="86">
        <f>($B$18+$B$19)*'2. Cost Inputs'!$B$5</f>
        <v>0.32876712328767121</v>
      </c>
      <c r="L62" s="86">
        <f>'2. Cost Inputs'!$B$7</f>
        <v>0.1</v>
      </c>
      <c r="M62" s="87">
        <f>'2. Cost Inputs'!$D$40</f>
        <v>100</v>
      </c>
      <c r="N62" s="87">
        <f>'2. Cost Inputs'!$D$41</f>
        <v>1500</v>
      </c>
      <c r="O62" s="87">
        <f>$D$55</f>
        <v>22500000</v>
      </c>
      <c r="P62" s="86">
        <f>'2. Cost Inputs'!$B$35</f>
        <v>7.0000000000000007E-2</v>
      </c>
      <c r="Q62" s="88">
        <f>'2. Cost Inputs'!$D$24</f>
        <v>0.3</v>
      </c>
      <c r="R62" s="89">
        <f>('2. Cost Inputs'!$B$25*($B$18+$B$20)*365*'2. Cost Inputs'!$B$5)</f>
        <v>2112000</v>
      </c>
      <c r="S62" s="87">
        <f>'2. Cost Inputs'!$D$31</f>
        <v>150000</v>
      </c>
      <c r="T62" s="90">
        <f t="shared" si="9"/>
        <v>3.8170350741115989E-18</v>
      </c>
      <c r="U62" s="91">
        <f>'1. Technology Description'!$B$8*'1. Technology Description'!$B$9*T62*86400*1000</f>
        <v>405.08330528430236</v>
      </c>
      <c r="V62" s="90">
        <f t="shared" si="2"/>
        <v>4.8609996634116283E-2</v>
      </c>
      <c r="W62" s="90">
        <f t="shared" si="3"/>
        <v>8142</v>
      </c>
      <c r="X62" s="90">
        <f>W62*'1. Technology Description'!$B$17/1000</f>
        <v>4168.7039999999997</v>
      </c>
      <c r="Y62" s="63">
        <f>1</f>
        <v>1</v>
      </c>
      <c r="Z62" s="90">
        <f>W62*M62+X62*N62+Y62*'2. Cost Inputs'!$D$42+Y62*O62</f>
        <v>29592256</v>
      </c>
      <c r="AA62" s="90">
        <f>Z62*(1+'2. Cost Inputs'!$B$49+'2. Cost Inputs'!$B$50+'2. Cost Inputs'!$B$52)+(W62*M62+X62*N62+Y62*'2. Cost Inputs'!$D$42)*'2. Cost Inputs'!$B$51</f>
        <v>48766060.799999997</v>
      </c>
      <c r="AB62" s="90">
        <f>(L62*(1+L62)^'2. Cost Inputs'!$B$6)/((1+L62)^'2. Cost Inputs'!$B$6-1)</f>
        <v>0.13147377688737219</v>
      </c>
      <c r="AC62" s="90">
        <f t="shared" si="4"/>
        <v>6411458.1972952262</v>
      </c>
      <c r="AD62" s="90">
        <f>'1. Technology Description'!$B$17*24/1000/(U62/1000000)</f>
        <v>30334.501174704867</v>
      </c>
      <c r="AE62" s="90">
        <f t="shared" si="5"/>
        <v>3601465.4400390782</v>
      </c>
      <c r="AF62" s="90">
        <f t="shared" si="6"/>
        <v>900000</v>
      </c>
      <c r="AG62" s="90">
        <f t="shared" si="7"/>
        <v>3413624.2560000001</v>
      </c>
      <c r="AH62" s="90">
        <f>R62*'2. Cost Inputs'!$D$25*Y62</f>
        <v>1900800</v>
      </c>
      <c r="AI62" s="90">
        <f>AC62+AE62+AF62+AG62+AH62+(('1. Technology Description'!$B$24/(U62/1000000)/1000)*'1. Technology Description'!$B$26*'2. Cost Inputs'!$D$28*$B$22)</f>
        <v>16233577.30308762</v>
      </c>
      <c r="AJ62" s="92">
        <f t="shared" si="8"/>
        <v>41019.758037564039</v>
      </c>
    </row>
    <row r="63" spans="1:36" ht="31.5" customHeight="1" x14ac:dyDescent="0.2">
      <c r="A63" s="27" t="s">
        <v>203</v>
      </c>
      <c r="B63" s="93" t="s">
        <v>250</v>
      </c>
      <c r="C63" s="93" t="s">
        <v>251</v>
      </c>
      <c r="D63" s="93" t="s">
        <v>252</v>
      </c>
      <c r="E63" s="93" t="s">
        <v>253</v>
      </c>
      <c r="I63" s="217" t="s">
        <v>254</v>
      </c>
      <c r="J63" s="59">
        <f>'1. Technology Description'!$B$10</f>
        <v>150</v>
      </c>
      <c r="K63" s="60">
        <f>($B$18+$B$19)*'2. Cost Inputs'!$B$5</f>
        <v>0.32876712328767121</v>
      </c>
      <c r="L63" s="60">
        <f>'2. Cost Inputs'!$B$7</f>
        <v>0.1</v>
      </c>
      <c r="M63" s="61">
        <f>'2. Cost Inputs'!$D$40</f>
        <v>100</v>
      </c>
      <c r="N63" s="61">
        <f>'2. Cost Inputs'!$D$41</f>
        <v>1500</v>
      </c>
      <c r="O63" s="61">
        <f>'2. Cost Inputs'!$D$43</f>
        <v>7500000</v>
      </c>
      <c r="P63" s="60">
        <f>$B$56</f>
        <v>0.11200000000000002</v>
      </c>
      <c r="Q63" s="62">
        <f>'2. Cost Inputs'!$D$24</f>
        <v>0.3</v>
      </c>
      <c r="R63" s="63">
        <f>('2. Cost Inputs'!$B$25*($B$18+$B$20)*365*'2. Cost Inputs'!$B$5)</f>
        <v>2112000</v>
      </c>
      <c r="S63" s="61">
        <f>'2. Cost Inputs'!$D$31</f>
        <v>150000</v>
      </c>
      <c r="T63" s="64">
        <f t="shared" si="9"/>
        <v>3.8170350741115989E-18</v>
      </c>
      <c r="U63" s="65">
        <f>'1. Technology Description'!$B$8*'1. Technology Description'!$B$9*T63*86400*1000</f>
        <v>405.08330528430236</v>
      </c>
      <c r="V63" s="64">
        <f t="shared" si="2"/>
        <v>4.8609996634116283E-2</v>
      </c>
      <c r="W63" s="64">
        <f t="shared" si="3"/>
        <v>8142</v>
      </c>
      <c r="X63" s="64">
        <f>W63*'1. Technology Description'!$B$17/1000</f>
        <v>4168.7039999999997</v>
      </c>
      <c r="Y63" s="63">
        <f>1</f>
        <v>1</v>
      </c>
      <c r="Z63" s="64">
        <f>W63*M63+X63*N63+Y63*'2. Cost Inputs'!$D$42+Y63*O63+Y63*'2. Cost Inputs'!$D$44</f>
        <v>44592256</v>
      </c>
      <c r="AA63" s="64">
        <f>Z63*(1+'2. Cost Inputs'!$B$49+'2. Cost Inputs'!$B$50+'2. Cost Inputs'!$B$52)+(W63*M63+X63*N63+Y63*'2. Cost Inputs'!$D$42)*'2. Cost Inputs'!$B$51</f>
        <v>72766060.799999997</v>
      </c>
      <c r="AB63" s="64">
        <f>(L63*(1+L63)^'2. Cost Inputs'!$B$6)/((1+L63)^'2. Cost Inputs'!$B$6-1)</f>
        <v>0.13147377688737219</v>
      </c>
      <c r="AC63" s="64">
        <f t="shared" si="4"/>
        <v>9566828.8425921593</v>
      </c>
      <c r="AD63" s="64">
        <f>'1. Technology Description'!$B$17*24/1000/(U63/1000000)</f>
        <v>30334.501174704867</v>
      </c>
      <c r="AE63" s="64">
        <f t="shared" si="5"/>
        <v>3601465.4400390782</v>
      </c>
      <c r="AF63" s="64">
        <f t="shared" si="6"/>
        <v>900000</v>
      </c>
      <c r="AG63" s="64">
        <f t="shared" si="7"/>
        <v>8149798.8096000012</v>
      </c>
      <c r="AH63" s="64">
        <f>R63*'2. Cost Inputs'!$D$25*Y63</f>
        <v>1900800</v>
      </c>
      <c r="AI63" s="64">
        <f>AC63+AE63+AF63+AG63+AH63+(('1. Technology Description'!$B$24/(U63/1000000)/1000)*'1. Technology Description'!$B$26*'2. Cost Inputs'!$D$28*$B$22)</f>
        <v>24125122.501984555</v>
      </c>
      <c r="AJ63" s="66">
        <f t="shared" si="8"/>
        <v>60960.481425728343</v>
      </c>
    </row>
    <row r="64" spans="1:36" ht="19.5" customHeight="1" x14ac:dyDescent="0.2">
      <c r="A64" s="9" t="s">
        <v>243</v>
      </c>
      <c r="B64" s="36">
        <f>MIN(AJ69,AJ70)</f>
        <v>50945.957386104114</v>
      </c>
      <c r="C64" s="36">
        <f>$AJ$50-MIN(AJ69,AJ70)</f>
        <v>2292.040056664533</v>
      </c>
      <c r="D64" s="36">
        <f>MAX(AJ69,AJ70)-$AJ$50</f>
        <v>2865.0500708306572</v>
      </c>
      <c r="E64" s="36">
        <f>MAX(AJ69,AJ70)</f>
        <v>56103.047513599304</v>
      </c>
      <c r="F64" s="219"/>
      <c r="I64" s="217" t="s">
        <v>255</v>
      </c>
      <c r="J64" s="59">
        <f>'1. Technology Description'!$B$10</f>
        <v>150</v>
      </c>
      <c r="K64" s="60">
        <f>($B$18+$B$19)*'2. Cost Inputs'!$B$5</f>
        <v>0.32876712328767121</v>
      </c>
      <c r="L64" s="60">
        <f>'2. Cost Inputs'!$B$7</f>
        <v>0.1</v>
      </c>
      <c r="M64" s="61">
        <f>'2. Cost Inputs'!$D$40</f>
        <v>100</v>
      </c>
      <c r="N64" s="61">
        <f>'2. Cost Inputs'!$D$41</f>
        <v>1500</v>
      </c>
      <c r="O64" s="61">
        <f>'2. Cost Inputs'!$D$43</f>
        <v>7500000</v>
      </c>
      <c r="P64" s="60">
        <f>$D$56</f>
        <v>3.5000000000000003E-2</v>
      </c>
      <c r="Q64" s="62">
        <f>'2. Cost Inputs'!$D$24</f>
        <v>0.3</v>
      </c>
      <c r="R64" s="63">
        <f>('2. Cost Inputs'!$B$25*($B$18+$B$20)*365*'2. Cost Inputs'!$B$5)</f>
        <v>2112000</v>
      </c>
      <c r="S64" s="61">
        <f>'2. Cost Inputs'!$D$31</f>
        <v>150000</v>
      </c>
      <c r="T64" s="64">
        <f t="shared" si="9"/>
        <v>3.8170350741115989E-18</v>
      </c>
      <c r="U64" s="65">
        <f>'1. Technology Description'!$B$8*'1. Technology Description'!$B$9*T64*86400*1000</f>
        <v>405.08330528430236</v>
      </c>
      <c r="V64" s="64">
        <f t="shared" si="2"/>
        <v>4.8609996634116283E-2</v>
      </c>
      <c r="W64" s="64">
        <f t="shared" si="3"/>
        <v>8142</v>
      </c>
      <c r="X64" s="64">
        <f>W64*'1. Technology Description'!$B$17/1000</f>
        <v>4168.7039999999997</v>
      </c>
      <c r="Y64" s="63">
        <f>1</f>
        <v>1</v>
      </c>
      <c r="Z64" s="64">
        <f>W64*M64+X64*N64+Y64*'2. Cost Inputs'!$D$42+Y64*O64+Y64*'2. Cost Inputs'!$D$44</f>
        <v>44592256</v>
      </c>
      <c r="AA64" s="64">
        <f>Z64*(1+'2. Cost Inputs'!$B$49+'2. Cost Inputs'!$B$50+'2. Cost Inputs'!$B$52)+(W64*M64+X64*N64+Y64*'2. Cost Inputs'!$D$42)*'2. Cost Inputs'!$B$51</f>
        <v>72766060.799999997</v>
      </c>
      <c r="AB64" s="64">
        <f>(L64*(1+L64)^'2. Cost Inputs'!$B$6)/((1+L64)^'2. Cost Inputs'!$B$6-1)</f>
        <v>0.13147377688737219</v>
      </c>
      <c r="AC64" s="64">
        <f t="shared" si="4"/>
        <v>9566828.8425921593</v>
      </c>
      <c r="AD64" s="64">
        <f>'1. Technology Description'!$B$17*24/1000/(U64/1000000)</f>
        <v>30334.501174704867</v>
      </c>
      <c r="AE64" s="64">
        <f t="shared" si="5"/>
        <v>3601465.4400390782</v>
      </c>
      <c r="AF64" s="64">
        <f t="shared" si="6"/>
        <v>900000</v>
      </c>
      <c r="AG64" s="64">
        <f t="shared" si="7"/>
        <v>2546812.128</v>
      </c>
      <c r="AH64" s="64">
        <f>R64*'2. Cost Inputs'!$D$25*Y64</f>
        <v>1900800</v>
      </c>
      <c r="AI64" s="64">
        <f>AC64+AE64+AF64+AG64+AH64+(('1. Technology Description'!$B$24/(U64/1000000)/1000)*'1. Technology Description'!$B$26*'2. Cost Inputs'!$D$28*$B$22)</f>
        <v>18522135.820384558</v>
      </c>
      <c r="AJ64" s="66">
        <f t="shared" si="8"/>
        <v>46802.594123635565</v>
      </c>
    </row>
    <row r="65" spans="1:36" ht="19.5" customHeight="1" x14ac:dyDescent="0.2">
      <c r="A65" s="9" t="s">
        <v>239</v>
      </c>
      <c r="B65" s="36">
        <f>MIN(AJ67,AJ68)</f>
        <v>49597.857301804062</v>
      </c>
      <c r="C65" s="36">
        <f>$AJ$50-MIN(AJ67,AJ68)</f>
        <v>3640.1401409645841</v>
      </c>
      <c r="D65" s="36">
        <f>MAX(AJ67,AJ68)-$AJ$50</f>
        <v>4550.1751762057247</v>
      </c>
      <c r="E65" s="36">
        <f>MAX(AJ67,AJ68)</f>
        <v>57788.172618974371</v>
      </c>
      <c r="F65" s="219"/>
      <c r="I65" s="217" t="s">
        <v>256</v>
      </c>
      <c r="J65" s="59">
        <f>'1. Technology Description'!$B$10</f>
        <v>150</v>
      </c>
      <c r="K65" s="60">
        <f>($B$18+$B$19)*'2. Cost Inputs'!$B$5</f>
        <v>0.32876712328767121</v>
      </c>
      <c r="L65" s="60">
        <f>$B$57</f>
        <v>0.15000000000000002</v>
      </c>
      <c r="M65" s="61">
        <f>'2. Cost Inputs'!$D$40</f>
        <v>100</v>
      </c>
      <c r="N65" s="61">
        <f>'2. Cost Inputs'!$D$41</f>
        <v>1500</v>
      </c>
      <c r="O65" s="61">
        <f>'2. Cost Inputs'!$D$43</f>
        <v>7500000</v>
      </c>
      <c r="P65" s="60">
        <f>'2. Cost Inputs'!$B$35</f>
        <v>7.0000000000000007E-2</v>
      </c>
      <c r="Q65" s="62">
        <f>'2. Cost Inputs'!$D$24</f>
        <v>0.3</v>
      </c>
      <c r="R65" s="63">
        <f>('2. Cost Inputs'!$B$25*($B$18+$B$20)*365*'2. Cost Inputs'!$B$5)</f>
        <v>2112000</v>
      </c>
      <c r="S65" s="61">
        <f>'2. Cost Inputs'!$D$31</f>
        <v>150000</v>
      </c>
      <c r="T65" s="64">
        <f t="shared" si="9"/>
        <v>3.8170350741115989E-18</v>
      </c>
      <c r="U65" s="65">
        <f>'1. Technology Description'!$B$8*'1. Technology Description'!$B$9*T65*86400*1000</f>
        <v>405.08330528430236</v>
      </c>
      <c r="V65" s="64">
        <f t="shared" si="2"/>
        <v>4.8609996634116283E-2</v>
      </c>
      <c r="W65" s="64">
        <f t="shared" si="3"/>
        <v>8142</v>
      </c>
      <c r="X65" s="64">
        <f>W65*'1. Technology Description'!$B$17/1000</f>
        <v>4168.7039999999997</v>
      </c>
      <c r="Y65" s="63">
        <f>1</f>
        <v>1</v>
      </c>
      <c r="Z65" s="64">
        <f>W65*M65+X65*N65+Y65*'2. Cost Inputs'!$D$42+Y65*O65+Y65*'2. Cost Inputs'!$D$44</f>
        <v>44592256</v>
      </c>
      <c r="AA65" s="64">
        <f>Z65*(1+'2. Cost Inputs'!$B$49+'2. Cost Inputs'!$B$50+'2. Cost Inputs'!$B$52)+(W65*M65+X65*N65+Y65*'2. Cost Inputs'!$D$42)*'2. Cost Inputs'!$B$51</f>
        <v>72766060.799999997</v>
      </c>
      <c r="AB65" s="64">
        <f>(L65*(1+L65)^'2. Cost Inputs'!$B$6)/((1+L65)^'2. Cost Inputs'!$B$6-1)</f>
        <v>0.17101705264630113</v>
      </c>
      <c r="AC65" s="64">
        <f t="shared" si="4"/>
        <v>12444237.250697548</v>
      </c>
      <c r="AD65" s="64">
        <f>'1. Technology Description'!$B$17*24/1000/(U65/1000000)</f>
        <v>30334.501174704867</v>
      </c>
      <c r="AE65" s="64">
        <f t="shared" si="5"/>
        <v>3601465.4400390782</v>
      </c>
      <c r="AF65" s="64">
        <f t="shared" si="6"/>
        <v>900000</v>
      </c>
      <c r="AG65" s="64">
        <f t="shared" si="7"/>
        <v>5093624.2560000001</v>
      </c>
      <c r="AH65" s="64">
        <f>R65*'2. Cost Inputs'!$D$25*Y65</f>
        <v>1900800</v>
      </c>
      <c r="AI65" s="64">
        <f>AC65+AE65+AF65+AG65+AH65+(('1. Technology Description'!$B$24/(U65/1000000)/1000)*'1. Technology Description'!$B$26*'2. Cost Inputs'!$D$28*$B$22)</f>
        <v>23946356.356489945</v>
      </c>
      <c r="AJ65" s="66">
        <f t="shared" si="8"/>
        <v>60508.766816151678</v>
      </c>
    </row>
    <row r="66" spans="1:36" ht="19.5" customHeight="1" x14ac:dyDescent="0.2">
      <c r="A66" s="9" t="s">
        <v>71</v>
      </c>
      <c r="B66" s="36">
        <f>MIN(AJ65,AJ66)</f>
        <v>47995.715521202284</v>
      </c>
      <c r="C66" s="36">
        <f>$AJ$50-MIN(AJ65,AJ66)</f>
        <v>5242.2819215663621</v>
      </c>
      <c r="D66" s="36">
        <f>MAX(AJ65,AJ66)-$AJ$50</f>
        <v>7270.7693733830311</v>
      </c>
      <c r="E66" s="36">
        <f>MAX(AJ65,AJ66)</f>
        <v>60508.766816151678</v>
      </c>
      <c r="F66" s="219"/>
      <c r="I66" s="217" t="s">
        <v>257</v>
      </c>
      <c r="J66" s="59">
        <f>'1. Technology Description'!$B$10</f>
        <v>150</v>
      </c>
      <c r="K66" s="60">
        <f>($B$18+$B$19)*'2. Cost Inputs'!$B$5</f>
        <v>0.32876712328767121</v>
      </c>
      <c r="L66" s="60">
        <f>$D$57</f>
        <v>0.06</v>
      </c>
      <c r="M66" s="61">
        <f>'2. Cost Inputs'!$D$40</f>
        <v>100</v>
      </c>
      <c r="N66" s="61">
        <f>'2. Cost Inputs'!$D$41</f>
        <v>1500</v>
      </c>
      <c r="O66" s="61">
        <f>'2. Cost Inputs'!$D$43</f>
        <v>7500000</v>
      </c>
      <c r="P66" s="60">
        <f>'2. Cost Inputs'!$B$35</f>
        <v>7.0000000000000007E-2</v>
      </c>
      <c r="Q66" s="62">
        <f>'2. Cost Inputs'!$D$24</f>
        <v>0.3</v>
      </c>
      <c r="R66" s="63">
        <f>('2. Cost Inputs'!$B$25*($B$18+$B$20)*365*'2. Cost Inputs'!$B$5)</f>
        <v>2112000</v>
      </c>
      <c r="S66" s="61">
        <f>'2. Cost Inputs'!$D$31</f>
        <v>150000</v>
      </c>
      <c r="T66" s="64">
        <f t="shared" si="9"/>
        <v>3.8170350741115989E-18</v>
      </c>
      <c r="U66" s="65">
        <f>'1. Technology Description'!$B$8*'1. Technology Description'!$B$9*T66*86400*1000</f>
        <v>405.08330528430236</v>
      </c>
      <c r="V66" s="64">
        <f t="shared" si="2"/>
        <v>4.8609996634116283E-2</v>
      </c>
      <c r="W66" s="64">
        <f t="shared" si="3"/>
        <v>8142</v>
      </c>
      <c r="X66" s="64">
        <f>W66*'1. Technology Description'!$B$17/1000</f>
        <v>4168.7039999999997</v>
      </c>
      <c r="Y66" s="63">
        <f>1</f>
        <v>1</v>
      </c>
      <c r="Z66" s="64">
        <f>W66*M66+X66*N66+Y66*'2. Cost Inputs'!$D$42+Y66*O66+Y66*'2. Cost Inputs'!$D$44</f>
        <v>44592256</v>
      </c>
      <c r="AA66" s="64">
        <f>Z66*(1+'2. Cost Inputs'!$B$49+'2. Cost Inputs'!$B$50+'2. Cost Inputs'!$B$52)+(W66*M66+X66*N66+Y66*'2. Cost Inputs'!$D$42)*'2. Cost Inputs'!$B$51</f>
        <v>72766060.799999997</v>
      </c>
      <c r="AB66" s="64">
        <f>(L66*(1+L66)^'2. Cost Inputs'!$B$6)/((1+L66)^'2. Cost Inputs'!$B$6-1)</f>
        <v>0.10296276395531262</v>
      </c>
      <c r="AC66" s="64">
        <f t="shared" si="4"/>
        <v>7492194.7421083264</v>
      </c>
      <c r="AD66" s="64">
        <f>'1. Technology Description'!$B$17*24/1000/(U66/1000000)</f>
        <v>30334.501174704867</v>
      </c>
      <c r="AE66" s="64">
        <f t="shared" si="5"/>
        <v>3601465.4400390782</v>
      </c>
      <c r="AF66" s="64">
        <f t="shared" si="6"/>
        <v>900000</v>
      </c>
      <c r="AG66" s="64">
        <f t="shared" si="7"/>
        <v>5093624.2560000001</v>
      </c>
      <c r="AH66" s="64">
        <f>R66*'2. Cost Inputs'!$D$25*Y66</f>
        <v>1900800</v>
      </c>
      <c r="AI66" s="64">
        <f>AC66+AE66+AF66+AG66+AH66+(('1. Technology Description'!$B$24/(U66/1000000)/1000)*'1. Technology Description'!$B$26*'2. Cost Inputs'!$D$28*$B$22)</f>
        <v>18994313.847900722</v>
      </c>
      <c r="AJ66" s="66">
        <f t="shared" si="8"/>
        <v>47995.715521202284</v>
      </c>
    </row>
    <row r="67" spans="1:36" ht="19.5" customHeight="1" x14ac:dyDescent="0.2">
      <c r="A67" s="9" t="s">
        <v>236</v>
      </c>
      <c r="B67" s="36">
        <f>MIN(AJ63,AJ64)</f>
        <v>46802.594123635565</v>
      </c>
      <c r="C67" s="36">
        <f>$AJ$50-MIN(AJ63,AJ64)</f>
        <v>6435.4033191330818</v>
      </c>
      <c r="D67" s="36">
        <f>MAX(AJ63,AJ64)-$AJ$50</f>
        <v>7722.4839829596967</v>
      </c>
      <c r="E67" s="36">
        <f>MAX(AJ63,AJ64)</f>
        <v>60960.481425728343</v>
      </c>
      <c r="F67" s="219"/>
      <c r="I67" s="217" t="s">
        <v>258</v>
      </c>
      <c r="J67" s="59">
        <f>'1. Technology Description'!$B$10</f>
        <v>150</v>
      </c>
      <c r="K67" s="60">
        <f>($B$18+$B$19)*'2. Cost Inputs'!$B$5</f>
        <v>0.32876712328767121</v>
      </c>
      <c r="L67" s="60">
        <f>'2. Cost Inputs'!$B$7</f>
        <v>0.1</v>
      </c>
      <c r="M67" s="61">
        <f>'2. Cost Inputs'!$D$40</f>
        <v>100</v>
      </c>
      <c r="N67" s="61">
        <f>'2. Cost Inputs'!$D$41</f>
        <v>1500</v>
      </c>
      <c r="O67" s="61">
        <f>'2. Cost Inputs'!$D$43</f>
        <v>7500000</v>
      </c>
      <c r="P67" s="60">
        <f>'2. Cost Inputs'!$B$35</f>
        <v>7.0000000000000007E-2</v>
      </c>
      <c r="Q67" s="62">
        <f>$B$58</f>
        <v>0.44999999999999996</v>
      </c>
      <c r="R67" s="63">
        <f>('2. Cost Inputs'!$B$25*($B$18+$B$20)*365*'2. Cost Inputs'!$B$5)</f>
        <v>2112000</v>
      </c>
      <c r="S67" s="61">
        <f>'2. Cost Inputs'!$D$31</f>
        <v>150000</v>
      </c>
      <c r="T67" s="64">
        <f t="shared" si="9"/>
        <v>3.8170350741115989E-18</v>
      </c>
      <c r="U67" s="65">
        <f>'1. Technology Description'!$B$8*'1. Technology Description'!$B$9*T67*86400*1000</f>
        <v>405.08330528430236</v>
      </c>
      <c r="V67" s="64">
        <f t="shared" si="2"/>
        <v>4.8609996634116283E-2</v>
      </c>
      <c r="W67" s="64">
        <f t="shared" si="3"/>
        <v>8142</v>
      </c>
      <c r="X67" s="64">
        <f>W67*'1. Technology Description'!$B$17/1000</f>
        <v>4168.7039999999997</v>
      </c>
      <c r="Y67" s="63">
        <f>1</f>
        <v>1</v>
      </c>
      <c r="Z67" s="64">
        <f>W67*M67+X67*N67+Y67*'2. Cost Inputs'!$D$42+Y67*O67+Y67*'2. Cost Inputs'!$D$44</f>
        <v>44592256</v>
      </c>
      <c r="AA67" s="64">
        <f>Z67*(1+'2. Cost Inputs'!$B$49+'2. Cost Inputs'!$B$50+'2. Cost Inputs'!$B$52)+(W67*M67+X67*N67+Y67*'2. Cost Inputs'!$D$42)*'2. Cost Inputs'!$B$51</f>
        <v>72766060.799999997</v>
      </c>
      <c r="AB67" s="64">
        <f>(L67*(1+L67)^'2. Cost Inputs'!$B$6)/((1+L67)^'2. Cost Inputs'!$B$6-1)</f>
        <v>0.13147377688737219</v>
      </c>
      <c r="AC67" s="64">
        <f t="shared" si="4"/>
        <v>9566828.8425921593</v>
      </c>
      <c r="AD67" s="64">
        <f>'1. Technology Description'!$B$17*24/1000/(U67/1000000)</f>
        <v>30334.501174704867</v>
      </c>
      <c r="AE67" s="64">
        <f t="shared" si="5"/>
        <v>5402198.1600586167</v>
      </c>
      <c r="AF67" s="64">
        <f t="shared" si="6"/>
        <v>900000</v>
      </c>
      <c r="AG67" s="64">
        <f t="shared" si="7"/>
        <v>5093624.2560000001</v>
      </c>
      <c r="AH67" s="64">
        <f>R67*'2. Cost Inputs'!$D$25*Y67</f>
        <v>1900800</v>
      </c>
      <c r="AI67" s="64">
        <f>AC67+AE67+AF67+AG67+AH67+(('1. Technology Description'!$B$24/(U67/1000000)/1000)*'1. Technology Description'!$B$26*'2. Cost Inputs'!$D$28*$B$22)</f>
        <v>22869680.668404095</v>
      </c>
      <c r="AJ67" s="66">
        <f t="shared" si="8"/>
        <v>57788.172618974371</v>
      </c>
    </row>
    <row r="68" spans="1:36" ht="19.5" customHeight="1" x14ac:dyDescent="0.2">
      <c r="A68" s="9" t="s">
        <v>232</v>
      </c>
      <c r="B68" s="36">
        <f>MIN(AJ61,AJ62)</f>
        <v>41019.758037564039</v>
      </c>
      <c r="C68" s="36">
        <f>$AJ$50-MIN(AJ61,AJ62)</f>
        <v>12218.239405204607</v>
      </c>
      <c r="D68" s="36">
        <f>MAX(AJ61,AJ62)-$AJ$50</f>
        <v>15272.799256505743</v>
      </c>
      <c r="E68" s="36">
        <f>MAX(AJ61,AJ62)</f>
        <v>68510.79669927439</v>
      </c>
      <c r="F68" s="219"/>
      <c r="I68" s="217" t="s">
        <v>259</v>
      </c>
      <c r="J68" s="59">
        <f>'1. Technology Description'!$B$10</f>
        <v>150</v>
      </c>
      <c r="K68" s="60">
        <f>($B$18+$B$19)*'2. Cost Inputs'!$B$5</f>
        <v>0.32876712328767121</v>
      </c>
      <c r="L68" s="60">
        <f>'2. Cost Inputs'!$B$7</f>
        <v>0.1</v>
      </c>
      <c r="M68" s="61">
        <f>'2. Cost Inputs'!$D$40</f>
        <v>100</v>
      </c>
      <c r="N68" s="61">
        <f>'2. Cost Inputs'!$D$41</f>
        <v>1500</v>
      </c>
      <c r="O68" s="61">
        <f>'2. Cost Inputs'!$D$43</f>
        <v>7500000</v>
      </c>
      <c r="P68" s="60">
        <f>'2. Cost Inputs'!$B$35</f>
        <v>7.0000000000000007E-2</v>
      </c>
      <c r="Q68" s="62">
        <f>$D$58</f>
        <v>0.18</v>
      </c>
      <c r="R68" s="63">
        <f>('2. Cost Inputs'!$B$25*($B$18+$B$20)*365*'2. Cost Inputs'!$B$5)</f>
        <v>2112000</v>
      </c>
      <c r="S68" s="61">
        <f>'2. Cost Inputs'!$D$31</f>
        <v>150000</v>
      </c>
      <c r="T68" s="64">
        <f t="shared" si="9"/>
        <v>3.8170350741115989E-18</v>
      </c>
      <c r="U68" s="65">
        <f>'1. Technology Description'!$B$8*'1. Technology Description'!$B$9*T68*86400*1000</f>
        <v>405.08330528430236</v>
      </c>
      <c r="V68" s="64">
        <f t="shared" si="2"/>
        <v>4.8609996634116283E-2</v>
      </c>
      <c r="W68" s="64">
        <f t="shared" si="3"/>
        <v>8142</v>
      </c>
      <c r="X68" s="64">
        <f>W68*'1. Technology Description'!$B$17/1000</f>
        <v>4168.7039999999997</v>
      </c>
      <c r="Y68" s="63">
        <f>1</f>
        <v>1</v>
      </c>
      <c r="Z68" s="64">
        <f>W68*M68+X68*N68+Y68*'2. Cost Inputs'!$D$42+Y68*O68+Y68*'2. Cost Inputs'!$D$44</f>
        <v>44592256</v>
      </c>
      <c r="AA68" s="64">
        <f>Z68*(1+'2. Cost Inputs'!$B$49+'2. Cost Inputs'!$B$50+'2. Cost Inputs'!$B$52)+(W68*M68+X68*N68+Y68*'2. Cost Inputs'!$D$42)*'2. Cost Inputs'!$B$51</f>
        <v>72766060.799999997</v>
      </c>
      <c r="AB68" s="64">
        <f>(L68*(1+L68)^'2. Cost Inputs'!$B$6)/((1+L68)^'2. Cost Inputs'!$B$6-1)</f>
        <v>0.13147377688737219</v>
      </c>
      <c r="AC68" s="64">
        <f t="shared" si="4"/>
        <v>9566828.8425921593</v>
      </c>
      <c r="AD68" s="64">
        <f>'1. Technology Description'!$B$17*24/1000/(U68/1000000)</f>
        <v>30334.501174704867</v>
      </c>
      <c r="AE68" s="64">
        <f t="shared" si="5"/>
        <v>2160879.2640234469</v>
      </c>
      <c r="AF68" s="64">
        <f t="shared" si="6"/>
        <v>900000</v>
      </c>
      <c r="AG68" s="64">
        <f t="shared" si="7"/>
        <v>5093624.2560000001</v>
      </c>
      <c r="AH68" s="64">
        <f>R68*'2. Cost Inputs'!$D$25*Y68</f>
        <v>1900800</v>
      </c>
      <c r="AI68" s="64">
        <f>AC68+AE68+AF68+AG68+AH68+(('1. Technology Description'!$B$24/(U68/1000000)/1000)*'1. Technology Description'!$B$26*'2. Cost Inputs'!$D$28*$B$22)</f>
        <v>19628361.772368927</v>
      </c>
      <c r="AJ68" s="66">
        <f t="shared" si="8"/>
        <v>49597.857301804062</v>
      </c>
    </row>
    <row r="69" spans="1:36" ht="19.5" customHeight="1" x14ac:dyDescent="0.2">
      <c r="A69" s="9" t="s">
        <v>229</v>
      </c>
      <c r="B69" s="36">
        <f>MIN(AJ59,AJ60)</f>
        <v>52566.501332417713</v>
      </c>
      <c r="C69" s="36">
        <f>$AJ$50-MIN(AJ59,AJ60)</f>
        <v>671.49611035093403</v>
      </c>
      <c r="D69" s="36">
        <f>MAX(AJ59,AJ60)-$AJ$50</f>
        <v>6714.9611035093694</v>
      </c>
      <c r="E69" s="36">
        <f>MAX(AJ59,AJ60)</f>
        <v>59952.958546278016</v>
      </c>
      <c r="F69" s="219"/>
      <c r="I69" s="217" t="s">
        <v>260</v>
      </c>
      <c r="J69" s="59">
        <f>'1. Technology Description'!$B$10</f>
        <v>150</v>
      </c>
      <c r="K69" s="60">
        <f>($B$18+$B$19)*'2. Cost Inputs'!$B$5</f>
        <v>0.32876712328767121</v>
      </c>
      <c r="L69" s="60">
        <f>'2. Cost Inputs'!$B$7</f>
        <v>0.1</v>
      </c>
      <c r="M69" s="61">
        <f>'2. Cost Inputs'!$D$40</f>
        <v>100</v>
      </c>
      <c r="N69" s="61">
        <f>$B$59</f>
        <v>2250</v>
      </c>
      <c r="O69" s="61">
        <f>'2. Cost Inputs'!$D$43</f>
        <v>7500000</v>
      </c>
      <c r="P69" s="60">
        <f>'2. Cost Inputs'!$B$35</f>
        <v>7.0000000000000007E-2</v>
      </c>
      <c r="Q69" s="62">
        <f>'2. Cost Inputs'!$D$24</f>
        <v>0.3</v>
      </c>
      <c r="R69" s="63">
        <f>('2. Cost Inputs'!$B$25*($B$18+$B$20)*365*'2. Cost Inputs'!$B$5)</f>
        <v>2112000</v>
      </c>
      <c r="S69" s="61">
        <f>'2. Cost Inputs'!$D$31</f>
        <v>150000</v>
      </c>
      <c r="T69" s="64">
        <f t="shared" si="9"/>
        <v>3.8170350741115989E-18</v>
      </c>
      <c r="U69" s="65">
        <f>'1. Technology Description'!$B$8*'1. Technology Description'!$B$9*T69*86400*1000</f>
        <v>405.08330528430236</v>
      </c>
      <c r="V69" s="64">
        <f t="shared" si="2"/>
        <v>4.8609996634116283E-2</v>
      </c>
      <c r="W69" s="64">
        <f t="shared" si="3"/>
        <v>8142</v>
      </c>
      <c r="X69" s="64">
        <f>W69*'1. Technology Description'!$B$17/1000</f>
        <v>4168.7039999999997</v>
      </c>
      <c r="Y69" s="63">
        <f>1</f>
        <v>1</v>
      </c>
      <c r="Z69" s="64">
        <f>W69*M69+X69*N69+Y69*'2. Cost Inputs'!$D$42+Y69*O69+Y69*'2. Cost Inputs'!$D$44</f>
        <v>47718784</v>
      </c>
      <c r="AA69" s="64">
        <f>Z69*(1+'2. Cost Inputs'!$B$49+'2. Cost Inputs'!$B$50+'2. Cost Inputs'!$B$52)+(W69*M69+X69*N69+Y69*'2. Cost Inputs'!$D$42)*'2. Cost Inputs'!$B$51</f>
        <v>78393811.199999988</v>
      </c>
      <c r="AB69" s="64">
        <f>(L69*(1+L69)^'2. Cost Inputs'!$B$6)/((1+L69)^'2. Cost Inputs'!$B$6-1)</f>
        <v>0.13147377688737219</v>
      </c>
      <c r="AC69" s="64">
        <f t="shared" si="4"/>
        <v>10306730.443059577</v>
      </c>
      <c r="AD69" s="64">
        <f>'1. Technology Description'!$B$17*24/1000/(U69/1000000)</f>
        <v>30334.501174704867</v>
      </c>
      <c r="AE69" s="64">
        <f t="shared" si="5"/>
        <v>3601465.4400390782</v>
      </c>
      <c r="AF69" s="64">
        <f t="shared" si="6"/>
        <v>900000</v>
      </c>
      <c r="AG69" s="64">
        <f t="shared" si="7"/>
        <v>5487566.784</v>
      </c>
      <c r="AH69" s="64">
        <f>R69*'2. Cost Inputs'!$D$25*Y69</f>
        <v>1900800</v>
      </c>
      <c r="AI69" s="64">
        <f>AC69+AE69+AF69+AG69+AH69+(('1. Technology Description'!$B$24/(U69/1000000)/1000)*'1. Technology Description'!$B$26*'2. Cost Inputs'!$D$28*$B$22)</f>
        <v>22202792.076851975</v>
      </c>
      <c r="AJ69" s="66">
        <f t="shared" si="8"/>
        <v>56103.047513599304</v>
      </c>
    </row>
    <row r="70" spans="1:36" ht="19.5" customHeight="1" x14ac:dyDescent="0.2">
      <c r="A70" s="9" t="s">
        <v>227</v>
      </c>
      <c r="B70" s="36">
        <f>MIN(AJ57,AJ58)</f>
        <v>51743.426965829742</v>
      </c>
      <c r="C70" s="36">
        <f>$AJ$50-MIN(AJ57,AJ58)</f>
        <v>1494.5704769389049</v>
      </c>
      <c r="D70" s="36">
        <f>MAX(AJ57,AJ58)-$AJ$50</f>
        <v>4316.6758799081508</v>
      </c>
      <c r="E70" s="36">
        <f>MAX(AJ57,AJ58)</f>
        <v>57554.673322676797</v>
      </c>
      <c r="F70" s="219"/>
      <c r="I70" s="217" t="s">
        <v>261</v>
      </c>
      <c r="J70" s="59">
        <f>'1. Technology Description'!$B$10</f>
        <v>150</v>
      </c>
      <c r="K70" s="60">
        <f>($B$18+$B$19)*'2. Cost Inputs'!$B$5</f>
        <v>0.32876712328767121</v>
      </c>
      <c r="L70" s="60">
        <f>'2. Cost Inputs'!$B$7</f>
        <v>0.1</v>
      </c>
      <c r="M70" s="61">
        <f>'2. Cost Inputs'!$D$40</f>
        <v>100</v>
      </c>
      <c r="N70" s="61">
        <f>$D$59</f>
        <v>900</v>
      </c>
      <c r="O70" s="61">
        <f>'2. Cost Inputs'!$D$43</f>
        <v>7500000</v>
      </c>
      <c r="P70" s="60">
        <f>'2. Cost Inputs'!$B$35</f>
        <v>7.0000000000000007E-2</v>
      </c>
      <c r="Q70" s="62">
        <f>'2. Cost Inputs'!$D$24</f>
        <v>0.3</v>
      </c>
      <c r="R70" s="63">
        <f>('2. Cost Inputs'!$B$25*($B$18+$B$20)*365*'2. Cost Inputs'!$B$5)</f>
        <v>2112000</v>
      </c>
      <c r="S70" s="61">
        <f>'2. Cost Inputs'!$D$31</f>
        <v>150000</v>
      </c>
      <c r="T70" s="64">
        <f t="shared" si="9"/>
        <v>3.8170350741115989E-18</v>
      </c>
      <c r="U70" s="65">
        <f>'1. Technology Description'!$B$8*'1. Technology Description'!$B$9*T70*86400*1000</f>
        <v>405.08330528430236</v>
      </c>
      <c r="V70" s="64">
        <f t="shared" si="2"/>
        <v>4.8609996634116283E-2</v>
      </c>
      <c r="W70" s="64">
        <f t="shared" si="3"/>
        <v>8142</v>
      </c>
      <c r="X70" s="64">
        <f>W70*'1. Technology Description'!$B$17/1000</f>
        <v>4168.7039999999997</v>
      </c>
      <c r="Y70" s="63">
        <f>1</f>
        <v>1</v>
      </c>
      <c r="Z70" s="64">
        <f>W70*M70+X70*N70+Y70*'2. Cost Inputs'!$D$42+Y70*O70+Y70*'2. Cost Inputs'!$D$44</f>
        <v>42091033.600000001</v>
      </c>
      <c r="AA70" s="64">
        <f>Z70*(1+'2. Cost Inputs'!$B$49+'2. Cost Inputs'!$B$50+'2. Cost Inputs'!$B$52)+(W70*M70+X70*N70+Y70*'2. Cost Inputs'!$D$42)*'2. Cost Inputs'!$B$51</f>
        <v>68263860.479999989</v>
      </c>
      <c r="AB70" s="64">
        <f>(L70*(1+L70)^'2. Cost Inputs'!$B$6)/((1+L70)^'2. Cost Inputs'!$B$6-1)</f>
        <v>0.13147377688737219</v>
      </c>
      <c r="AC70" s="64">
        <f t="shared" si="4"/>
        <v>8974907.5622182228</v>
      </c>
      <c r="AD70" s="64">
        <f>'1. Technology Description'!$B$17*24/1000/(U70/1000000)</f>
        <v>30334.501174704867</v>
      </c>
      <c r="AE70" s="64">
        <f t="shared" si="5"/>
        <v>3601465.4400390782</v>
      </c>
      <c r="AF70" s="64">
        <f t="shared" si="6"/>
        <v>900000</v>
      </c>
      <c r="AG70" s="64">
        <f t="shared" si="7"/>
        <v>4778470.2335999999</v>
      </c>
      <c r="AH70" s="64">
        <f>R70*'2. Cost Inputs'!$D$25*Y70</f>
        <v>1900800</v>
      </c>
      <c r="AI70" s="64">
        <f>AC70+AE70+AF70+AG70+AH70+(('1. Technology Description'!$B$24/(U70/1000000)/1000)*'1. Technology Description'!$B$26*'2. Cost Inputs'!$D$28*$B$22)</f>
        <v>20161872.645610619</v>
      </c>
      <c r="AJ70" s="66">
        <f t="shared" si="8"/>
        <v>50945.957386104114</v>
      </c>
    </row>
    <row r="71" spans="1:36" ht="19.5" customHeight="1" x14ac:dyDescent="0.2">
      <c r="A71" s="9" t="s">
        <v>224</v>
      </c>
      <c r="B71" s="36">
        <f>MIN(AJ55,AJ56)</f>
        <v>52555.74888699063</v>
      </c>
      <c r="C71" s="36">
        <f>$AJ$50-MIN(AJ55,AJ56)</f>
        <v>682.24855577801645</v>
      </c>
      <c r="D71" s="36">
        <f>MAX(AJ55,AJ56)-$AJ$50</f>
        <v>909.66474103735527</v>
      </c>
      <c r="E71" s="36">
        <f>MAX(AJ55,AJ56)</f>
        <v>54147.662183806002</v>
      </c>
      <c r="F71" s="219"/>
      <c r="I71" s="217" t="s">
        <v>262</v>
      </c>
      <c r="J71" s="59">
        <f>'1. Technology Description'!$B$10</f>
        <v>150</v>
      </c>
      <c r="K71" s="60">
        <f>($B$18+$B$19)*'2. Cost Inputs'!$B$5</f>
        <v>0.32876712328767121</v>
      </c>
      <c r="L71" s="60">
        <f>'2. Cost Inputs'!$B$7</f>
        <v>0.1</v>
      </c>
      <c r="M71" s="61">
        <f>'2. Cost Inputs'!$D$40</f>
        <v>100</v>
      </c>
      <c r="N71" s="61">
        <f>'2. Cost Inputs'!$D$41</f>
        <v>1500</v>
      </c>
      <c r="O71" s="61">
        <f>'2. Cost Inputs'!$D$43</f>
        <v>7500000</v>
      </c>
      <c r="P71" s="60">
        <f>'2. Cost Inputs'!$B$35</f>
        <v>7.0000000000000007E-2</v>
      </c>
      <c r="Q71" s="62">
        <f>'2. Cost Inputs'!$D$24</f>
        <v>0.3</v>
      </c>
      <c r="R71" s="63">
        <f>('2. Cost Inputs'!$B$25*($B$18+$B$20)*365*'2. Cost Inputs'!$B$5)</f>
        <v>2112000</v>
      </c>
      <c r="S71" s="61">
        <f>'2. Cost Inputs'!$D$31</f>
        <v>150000</v>
      </c>
      <c r="T71" s="64">
        <f t="shared" si="9"/>
        <v>3.8170350741115989E-18</v>
      </c>
      <c r="U71" s="65">
        <f>$B$50*'1. Technology Description'!$B$9*T71*86400*1000</f>
        <v>344.32080949165692</v>
      </c>
      <c r="V71" s="64">
        <f t="shared" si="2"/>
        <v>4.1318497138998829E-2</v>
      </c>
      <c r="W71" s="64">
        <f t="shared" si="3"/>
        <v>9579</v>
      </c>
      <c r="X71" s="64">
        <f>W71*'1. Technology Description'!$B$17/1000</f>
        <v>4904.4480000000003</v>
      </c>
      <c r="Y71" s="63">
        <f>1</f>
        <v>1</v>
      </c>
      <c r="Z71" s="64">
        <f>W71*M71+X71*N71+Y71*'2. Cost Inputs'!$D$42+Y71*O71+Y71*'2. Cost Inputs'!$D$44</f>
        <v>45839572</v>
      </c>
      <c r="AA71" s="64">
        <f>Z71*(1+'2. Cost Inputs'!$B$49+'2. Cost Inputs'!$B$50+'2. Cost Inputs'!$B$52)+(W71*M71+X71*N71+Y71*'2. Cost Inputs'!$D$42)*'2. Cost Inputs'!$B$51</f>
        <v>75011229.599999994</v>
      </c>
      <c r="AB71" s="64">
        <f>(L71*(1+L71)^'2. Cost Inputs'!$B$6)/((1+L71)^'2. Cost Inputs'!$B$6-1)</f>
        <v>0.13147377688737219</v>
      </c>
      <c r="AC71" s="64">
        <f t="shared" si="4"/>
        <v>9862009.6644778475</v>
      </c>
      <c r="AD71" s="64">
        <f>'1. Technology Description'!$B$17*24/1000/(U71/1000000)</f>
        <v>35687.64844082926</v>
      </c>
      <c r="AE71" s="64">
        <f t="shared" si="5"/>
        <v>4237018.1647518575</v>
      </c>
      <c r="AF71" s="64">
        <f t="shared" si="6"/>
        <v>900000</v>
      </c>
      <c r="AG71" s="64">
        <f t="shared" si="7"/>
        <v>5250786.0719999997</v>
      </c>
      <c r="AH71" s="64">
        <f>R71*'2. Cost Inputs'!$D$25*Y71</f>
        <v>1900800</v>
      </c>
      <c r="AI71" s="64">
        <f>AC71+AE71+AF71+AG71+AH71+(('1. Technology Description'!$B$24/(U71/1000000)/1000)*'1. Technology Description'!$B$26*'2. Cost Inputs'!$D$28*$B$22)</f>
        <v>22157942.618586551</v>
      </c>
      <c r="AJ71" s="66">
        <f t="shared" si="8"/>
        <v>55989.719816825193</v>
      </c>
    </row>
    <row r="72" spans="1:36" ht="19.5" customHeight="1" x14ac:dyDescent="0.2">
      <c r="A72" s="9" t="s">
        <v>221</v>
      </c>
      <c r="B72" s="36">
        <f>MIN(AJ53,AJ54)</f>
        <v>50836.482526430038</v>
      </c>
      <c r="C72" s="36">
        <f>$AJ$50-MIN(AJ53,AJ54)</f>
        <v>2401.5149163386086</v>
      </c>
      <c r="D72" s="36">
        <f>MAX(AJ53,AJ54)-$AJ$50</f>
        <v>2401.5149163386159</v>
      </c>
      <c r="E72" s="36">
        <f>MAX(AJ53,AJ54)</f>
        <v>55639.512359107262</v>
      </c>
      <c r="F72" s="219"/>
      <c r="I72" s="217" t="s">
        <v>263</v>
      </c>
      <c r="J72" s="59">
        <f>'1. Technology Description'!$B$10</f>
        <v>150</v>
      </c>
      <c r="K72" s="60">
        <f>($B$18+$B$19)*'2. Cost Inputs'!$B$5</f>
        <v>0.32876712328767121</v>
      </c>
      <c r="L72" s="60">
        <f>'2. Cost Inputs'!$B$7</f>
        <v>0.1</v>
      </c>
      <c r="M72" s="61">
        <f>'2. Cost Inputs'!$D$40</f>
        <v>100</v>
      </c>
      <c r="N72" s="61">
        <f>'2. Cost Inputs'!$D$41</f>
        <v>1500</v>
      </c>
      <c r="O72" s="61">
        <f>'2. Cost Inputs'!$D$43</f>
        <v>7500000</v>
      </c>
      <c r="P72" s="60">
        <f>'2. Cost Inputs'!$B$35</f>
        <v>7.0000000000000007E-2</v>
      </c>
      <c r="Q72" s="62">
        <f>'2. Cost Inputs'!$D$24</f>
        <v>0.3</v>
      </c>
      <c r="R72" s="63">
        <f>('2. Cost Inputs'!$B$25*($B$18+$B$20)*365*'2. Cost Inputs'!$B$5)</f>
        <v>2112000</v>
      </c>
      <c r="S72" s="61">
        <f>'2. Cost Inputs'!$D$31</f>
        <v>150000</v>
      </c>
      <c r="T72" s="64">
        <f t="shared" si="9"/>
        <v>3.8170350741115989E-18</v>
      </c>
      <c r="U72" s="65">
        <f>$D$50*'1. Technology Description'!$B$9*T72*86400*1000</f>
        <v>465.84580107694762</v>
      </c>
      <c r="V72" s="64">
        <f t="shared" si="2"/>
        <v>5.5901496129233709E-2</v>
      </c>
      <c r="W72" s="64">
        <f t="shared" si="3"/>
        <v>7080</v>
      </c>
      <c r="X72" s="64">
        <f>W72*'1. Technology Description'!$B$17/1000</f>
        <v>3624.96</v>
      </c>
      <c r="Y72" s="63">
        <f>1</f>
        <v>1</v>
      </c>
      <c r="Z72" s="64">
        <f>W72*M72+X72*N72+Y72*'2. Cost Inputs'!$D$42+Y72*O72+Y72*'2. Cost Inputs'!$D$44</f>
        <v>43670440</v>
      </c>
      <c r="AA72" s="64">
        <f>Z72*(1+'2. Cost Inputs'!$B$49+'2. Cost Inputs'!$B$50+'2. Cost Inputs'!$B$52)+(W72*M72+X72*N72+Y72*'2. Cost Inputs'!$D$42)*'2. Cost Inputs'!$B$51</f>
        <v>71106792</v>
      </c>
      <c r="AB72" s="64">
        <f>(L72*(1+L72)^'2. Cost Inputs'!$B$6)/((1+L72)^'2. Cost Inputs'!$B$6-1)</f>
        <v>0.13147377688737219</v>
      </c>
      <c r="AC72" s="64">
        <f t="shared" si="4"/>
        <v>9348678.5065847822</v>
      </c>
      <c r="AD72" s="64">
        <f>'1. Technology Description'!$B$17*24/1000/(U72/1000000)</f>
        <v>26377.827108439022</v>
      </c>
      <c r="AE72" s="64">
        <f t="shared" si="5"/>
        <v>3131709.0782948514</v>
      </c>
      <c r="AF72" s="64">
        <f t="shared" si="6"/>
        <v>900000</v>
      </c>
      <c r="AG72" s="64">
        <f t="shared" si="7"/>
        <v>4977475.4400000004</v>
      </c>
      <c r="AH72" s="64">
        <f>R72*'2. Cost Inputs'!$D$25*Y72</f>
        <v>1900800</v>
      </c>
      <c r="AI72" s="64">
        <f>AC72+AE72+AF72+AG72+AH72+(('1. Technology Description'!$B$24/(U72/1000000)/1000)*'1. Technology Description'!$B$26*'2. Cost Inputs'!$D$28*$B$22)</f>
        <v>20264079.902925998</v>
      </c>
      <c r="AJ72" s="66">
        <f t="shared" si="8"/>
        <v>51204.219436820589</v>
      </c>
    </row>
    <row r="73" spans="1:36" ht="19.5" customHeight="1" x14ac:dyDescent="0.2">
      <c r="A73" s="9" t="s">
        <v>219</v>
      </c>
      <c r="B73" s="36">
        <f>MIN(AJ71,AJ72)</f>
        <v>51204.219436820589</v>
      </c>
      <c r="C73" s="36">
        <f>$AJ$50-MIN(AJ71,AJ72)</f>
        <v>2033.7780059480574</v>
      </c>
      <c r="D73" s="36">
        <f>MAX(AJ71,AJ72)-$AJ$50</f>
        <v>2751.722374056546</v>
      </c>
      <c r="E73" s="36">
        <f>MAX(AJ71,AJ72)</f>
        <v>55989.719816825193</v>
      </c>
      <c r="F73" s="219"/>
      <c r="I73" s="217" t="s">
        <v>264</v>
      </c>
      <c r="J73" s="59"/>
      <c r="K73" s="60"/>
      <c r="L73" s="60"/>
      <c r="M73" s="61"/>
      <c r="N73" s="61"/>
      <c r="O73" s="61"/>
      <c r="P73" s="60"/>
      <c r="Q73" s="62"/>
      <c r="R73" s="63"/>
      <c r="S73" s="61"/>
      <c r="T73" s="64"/>
      <c r="U73" s="64"/>
      <c r="V73" s="64"/>
      <c r="W73" s="64"/>
      <c r="X73" s="64"/>
      <c r="Y73" s="64"/>
      <c r="Z73" s="64"/>
      <c r="AA73" s="64"/>
      <c r="AB73" s="64"/>
      <c r="AC73" s="64"/>
      <c r="AD73" s="64"/>
      <c r="AE73" s="64"/>
      <c r="AF73" s="64"/>
      <c r="AG73" s="64"/>
      <c r="AH73" s="64"/>
      <c r="AI73" s="64"/>
      <c r="AJ73" s="66"/>
    </row>
    <row r="74" spans="1:36" ht="19.5" customHeight="1" x14ac:dyDescent="0.2">
      <c r="A74" s="9" t="s">
        <v>208</v>
      </c>
      <c r="B74" s="36">
        <f>MIN(AJ51,AJ52)</f>
        <v>39890.59199810314</v>
      </c>
      <c r="C74" s="36">
        <f>$AJ$50-MIN(AJ51,AJ52)</f>
        <v>13347.405444665506</v>
      </c>
      <c r="D74" s="36">
        <f>MAX(AJ51,AJ52)-$AJ$50</f>
        <v>7415.2252470363746</v>
      </c>
      <c r="E74" s="36">
        <f>MAX(AJ51,AJ52)</f>
        <v>60653.222689805021</v>
      </c>
      <c r="F74" s="219"/>
      <c r="I74" s="217" t="s">
        <v>265</v>
      </c>
      <c r="J74" s="59"/>
      <c r="K74" s="60"/>
      <c r="L74" s="60"/>
      <c r="M74" s="61"/>
      <c r="N74" s="61"/>
      <c r="O74" s="61"/>
      <c r="P74" s="60"/>
      <c r="Q74" s="62"/>
      <c r="R74" s="63"/>
      <c r="S74" s="61"/>
      <c r="T74" s="64"/>
      <c r="U74" s="64"/>
      <c r="V74" s="64"/>
      <c r="W74" s="64"/>
      <c r="X74" s="64"/>
      <c r="Y74" s="64"/>
      <c r="Z74" s="64"/>
      <c r="AA74" s="64"/>
      <c r="AB74" s="64"/>
      <c r="AC74" s="64"/>
      <c r="AD74" s="64"/>
      <c r="AE74" s="64"/>
      <c r="AF74" s="64"/>
      <c r="AG74" s="64"/>
      <c r="AH74" s="64"/>
      <c r="AI74" s="64"/>
      <c r="AJ74" s="66"/>
    </row>
    <row r="75" spans="1:36" ht="15" customHeight="1" x14ac:dyDescent="0.2">
      <c r="A75" s="9"/>
      <c r="B75" s="36"/>
      <c r="C75" s="36"/>
      <c r="D75" s="36"/>
      <c r="E75" s="36"/>
      <c r="F75" s="219"/>
      <c r="J75" s="220"/>
      <c r="AJ75" s="211"/>
    </row>
    <row r="76" spans="1:36" x14ac:dyDescent="0.2">
      <c r="F76" s="211"/>
      <c r="J76" s="220"/>
      <c r="AJ76" s="211"/>
    </row>
    <row r="82" spans="1:1" ht="18" customHeight="1" x14ac:dyDescent="0.2"/>
    <row r="83" spans="1:1" ht="15" customHeight="1" x14ac:dyDescent="0.2"/>
    <row r="95" spans="1:1" ht="15" customHeight="1" x14ac:dyDescent="0.2"/>
    <row r="96" spans="1:1" ht="15" customHeight="1" x14ac:dyDescent="0.2">
      <c r="A96" s="94"/>
    </row>
    <row r="97" spans="1:4" ht="15" customHeight="1" x14ac:dyDescent="0.2">
      <c r="A97" s="164"/>
    </row>
    <row r="98" spans="1:4" ht="15" customHeight="1" x14ac:dyDescent="0.2"/>
    <row r="99" spans="1:4" ht="15" customHeight="1" x14ac:dyDescent="0.2">
      <c r="A99" s="46"/>
      <c r="B99" s="46"/>
      <c r="C99" s="46"/>
      <c r="D99" s="46"/>
    </row>
    <row r="100" spans="1:4" ht="15" customHeight="1" x14ac:dyDescent="0.2">
      <c r="B100" s="211"/>
      <c r="C100" s="211"/>
      <c r="D100" s="211"/>
    </row>
    <row r="101" spans="1:4" ht="15" customHeight="1" x14ac:dyDescent="0.2">
      <c r="B101" s="211"/>
      <c r="C101" s="211"/>
      <c r="D101" s="211"/>
    </row>
    <row r="102" spans="1:4" ht="15" customHeight="1" x14ac:dyDescent="0.2">
      <c r="B102" s="212"/>
      <c r="C102" s="212"/>
      <c r="D102" s="212"/>
    </row>
    <row r="103" spans="1:4" ht="15" customHeight="1" x14ac:dyDescent="0.2">
      <c r="B103" s="213"/>
      <c r="C103" s="213"/>
      <c r="D103" s="213"/>
    </row>
    <row r="104" spans="1:4" ht="15" customHeight="1" x14ac:dyDescent="0.2">
      <c r="B104" s="212"/>
      <c r="C104" s="212"/>
      <c r="D104" s="212"/>
    </row>
    <row r="105" spans="1:4" ht="15" customHeight="1" x14ac:dyDescent="0.2">
      <c r="B105" s="212"/>
      <c r="C105" s="212"/>
      <c r="D105" s="212"/>
    </row>
    <row r="106" spans="1:4" ht="15" customHeight="1" x14ac:dyDescent="0.2">
      <c r="B106" s="212"/>
      <c r="C106" s="212"/>
      <c r="D106" s="212"/>
    </row>
    <row r="107" spans="1:4" ht="15" customHeight="1" x14ac:dyDescent="0.2">
      <c r="B107" s="212"/>
      <c r="C107" s="212"/>
      <c r="D107" s="212"/>
    </row>
    <row r="108" spans="1:4" ht="15" customHeight="1" x14ac:dyDescent="0.2">
      <c r="B108" s="212"/>
      <c r="C108" s="212"/>
      <c r="D108" s="212"/>
    </row>
    <row r="109" spans="1:4" ht="15" customHeight="1" x14ac:dyDescent="0.2">
      <c r="B109" s="212"/>
      <c r="C109" s="212"/>
      <c r="D109" s="212"/>
    </row>
    <row r="110" spans="1:4" ht="15" customHeight="1" x14ac:dyDescent="0.2">
      <c r="A110" s="46"/>
      <c r="B110" s="47"/>
      <c r="C110" s="47"/>
      <c r="D110" s="47"/>
    </row>
    <row r="111" spans="1:4" ht="15" customHeight="1" x14ac:dyDescent="0.2"/>
    <row r="112" spans="1:4"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sheetData>
  <mergeCells count="17">
    <mergeCell ref="F56:I56"/>
    <mergeCell ref="F60:I60"/>
    <mergeCell ref="A27:H27"/>
    <mergeCell ref="A28:H29"/>
    <mergeCell ref="I48:K48"/>
    <mergeCell ref="R48:U48"/>
    <mergeCell ref="F49:H49"/>
    <mergeCell ref="E20:H20"/>
    <mergeCell ref="E21:H21"/>
    <mergeCell ref="E22:H22"/>
    <mergeCell ref="E23:H23"/>
    <mergeCell ref="E24:H24"/>
    <mergeCell ref="A3:E3"/>
    <mergeCell ref="F3:H3"/>
    <mergeCell ref="A16:H16"/>
    <mergeCell ref="E18:H18"/>
    <mergeCell ref="E19:H19"/>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9.9978637043366805E-2"/>
  </sheetPr>
  <dimension ref="A1:G43"/>
  <sheetViews>
    <sheetView zoomScaleNormal="100" zoomScalePageLayoutView="60" workbookViewId="0">
      <selection activeCell="E25" sqref="E25"/>
    </sheetView>
  </sheetViews>
  <sheetFormatPr baseColWidth="10" defaultColWidth="8.6640625" defaultRowHeight="14" x14ac:dyDescent="0.15"/>
  <cols>
    <col min="1" max="1" width="40" style="167" customWidth="1"/>
    <col min="2" max="2" width="16" style="167" customWidth="1"/>
    <col min="3" max="3" width="19.83203125" style="167" customWidth="1"/>
    <col min="4" max="4" width="15" style="167" customWidth="1"/>
    <col min="5" max="5" width="46" style="167" customWidth="1"/>
    <col min="6" max="6" width="13" style="167" customWidth="1"/>
    <col min="7" max="7" width="55" style="167" customWidth="1"/>
    <col min="8" max="16384" width="8.6640625" style="167"/>
  </cols>
  <sheetData>
    <row r="1" spans="1:7" ht="15" customHeight="1" x14ac:dyDescent="0.15">
      <c r="A1" s="166" t="s">
        <v>266</v>
      </c>
    </row>
    <row r="2" spans="1:7" ht="29" customHeight="1" x14ac:dyDescent="0.15">
      <c r="A2" s="363" t="s">
        <v>918</v>
      </c>
      <c r="B2" s="363"/>
      <c r="C2" s="363"/>
      <c r="D2" s="363"/>
      <c r="E2" s="363"/>
    </row>
    <row r="3" spans="1:7" ht="15" customHeight="1" x14ac:dyDescent="0.15">
      <c r="A3" s="351" t="s">
        <v>267</v>
      </c>
      <c r="B3" s="351"/>
      <c r="C3" s="351"/>
      <c r="D3" s="351"/>
      <c r="E3" s="351"/>
    </row>
    <row r="4" spans="1:7" ht="15" customHeight="1" x14ac:dyDescent="0.15">
      <c r="B4" s="182" t="s">
        <v>14</v>
      </c>
      <c r="C4" s="182" t="s">
        <v>15</v>
      </c>
      <c r="D4" s="182" t="s">
        <v>268</v>
      </c>
      <c r="E4" s="182"/>
      <c r="F4" s="182"/>
      <c r="G4" s="182" t="s">
        <v>17</v>
      </c>
    </row>
    <row r="5" spans="1:7" ht="29" customHeight="1" x14ac:dyDescent="0.15">
      <c r="A5" s="183" t="s">
        <v>269</v>
      </c>
      <c r="B5" s="221">
        <v>100000</v>
      </c>
      <c r="C5" s="185" t="s">
        <v>233</v>
      </c>
      <c r="D5" s="364" t="s">
        <v>270</v>
      </c>
      <c r="E5" s="364" t="s">
        <v>271</v>
      </c>
      <c r="F5" s="364"/>
      <c r="G5" s="222" t="s">
        <v>271</v>
      </c>
    </row>
    <row r="6" spans="1:7" ht="15" customHeight="1" x14ac:dyDescent="0.15">
      <c r="A6" s="183" t="s">
        <v>272</v>
      </c>
      <c r="B6" s="223">
        <v>3</v>
      </c>
      <c r="C6" s="185" t="s">
        <v>273</v>
      </c>
      <c r="D6" s="364" t="s">
        <v>274</v>
      </c>
      <c r="E6" s="364" t="s">
        <v>275</v>
      </c>
      <c r="F6" s="364"/>
      <c r="G6" s="222" t="s">
        <v>275</v>
      </c>
    </row>
    <row r="7" spans="1:7" ht="15" customHeight="1" x14ac:dyDescent="0.15">
      <c r="A7" s="183" t="s">
        <v>276</v>
      </c>
      <c r="B7" s="221">
        <v>180000</v>
      </c>
      <c r="C7" s="185" t="s">
        <v>225</v>
      </c>
      <c r="D7" s="364" t="s">
        <v>277</v>
      </c>
      <c r="E7" s="364" t="s">
        <v>278</v>
      </c>
      <c r="F7" s="364"/>
      <c r="G7" s="222" t="s">
        <v>278</v>
      </c>
    </row>
    <row r="8" spans="1:7" ht="29" customHeight="1" x14ac:dyDescent="0.15">
      <c r="A8" s="183" t="s">
        <v>919</v>
      </c>
      <c r="B8" s="343">
        <f>'2. Cost Inputs'!D24</f>
        <v>0.3</v>
      </c>
      <c r="C8" s="185" t="s">
        <v>240</v>
      </c>
      <c r="D8" s="364" t="s">
        <v>920</v>
      </c>
      <c r="E8" s="364" t="s">
        <v>279</v>
      </c>
      <c r="F8" s="364"/>
      <c r="G8" s="222" t="s">
        <v>279</v>
      </c>
    </row>
    <row r="9" spans="1:7" ht="15" customHeight="1" x14ac:dyDescent="0.15">
      <c r="A9" s="183" t="s">
        <v>280</v>
      </c>
      <c r="B9" s="225">
        <f>'2. Cost Inputs'!B24*B8*$B$43</f>
        <v>3888000</v>
      </c>
      <c r="C9" s="185" t="s">
        <v>152</v>
      </c>
      <c r="D9" s="364" t="s">
        <v>281</v>
      </c>
      <c r="E9" s="364"/>
      <c r="F9" s="364"/>
    </row>
    <row r="10" spans="1:7" ht="15" customHeight="1" x14ac:dyDescent="0.15">
      <c r="A10" s="183" t="s">
        <v>282</v>
      </c>
      <c r="B10" s="221">
        <v>2000000</v>
      </c>
      <c r="C10" s="185" t="s">
        <v>283</v>
      </c>
      <c r="D10" s="364" t="s">
        <v>284</v>
      </c>
      <c r="E10" s="364" t="s">
        <v>285</v>
      </c>
      <c r="F10" s="364"/>
      <c r="G10" s="222" t="s">
        <v>285</v>
      </c>
    </row>
    <row r="11" spans="1:7" ht="39" x14ac:dyDescent="0.15">
      <c r="A11" s="183" t="s">
        <v>921</v>
      </c>
      <c r="B11" s="221">
        <v>80000</v>
      </c>
      <c r="C11" s="185" t="s">
        <v>233</v>
      </c>
      <c r="D11" s="222" t="s">
        <v>922</v>
      </c>
    </row>
    <row r="12" spans="1:7" ht="15" customHeight="1" x14ac:dyDescent="0.15">
      <c r="A12" s="351" t="s">
        <v>164</v>
      </c>
      <c r="B12" s="351"/>
      <c r="C12" s="351"/>
      <c r="D12" s="351"/>
      <c r="E12" s="351"/>
    </row>
    <row r="13" spans="1:7" ht="29" customHeight="1" x14ac:dyDescent="0.15">
      <c r="A13" s="183" t="s">
        <v>165</v>
      </c>
      <c r="B13" s="226">
        <v>0.36529680365296802</v>
      </c>
      <c r="C13" s="185" t="s">
        <v>166</v>
      </c>
      <c r="D13" s="364" t="s">
        <v>286</v>
      </c>
      <c r="E13" s="364"/>
      <c r="F13" s="364"/>
      <c r="G13" s="222" t="s">
        <v>287</v>
      </c>
    </row>
    <row r="14" spans="1:7" ht="39" customHeight="1" x14ac:dyDescent="0.15">
      <c r="A14" s="183" t="s">
        <v>169</v>
      </c>
      <c r="B14" s="226">
        <v>0</v>
      </c>
      <c r="C14" s="185" t="s">
        <v>166</v>
      </c>
      <c r="D14" s="222" t="s">
        <v>288</v>
      </c>
      <c r="G14" s="186" t="s">
        <v>289</v>
      </c>
    </row>
    <row r="15" spans="1:7" ht="16.5" customHeight="1" x14ac:dyDescent="0.15">
      <c r="A15" s="183" t="s">
        <v>172</v>
      </c>
      <c r="B15" s="226">
        <v>0</v>
      </c>
      <c r="C15" s="185" t="s">
        <v>166</v>
      </c>
      <c r="D15" s="222" t="s">
        <v>290</v>
      </c>
      <c r="G15" s="186" t="s">
        <v>291</v>
      </c>
    </row>
    <row r="16" spans="1:7" ht="15" customHeight="1" x14ac:dyDescent="0.15">
      <c r="A16" s="183" t="s">
        <v>155</v>
      </c>
      <c r="B16" s="195">
        <f>(B13+B14+B15)*365*'2. Cost Inputs'!$B$5</f>
        <v>119.99999999999999</v>
      </c>
      <c r="C16" s="185" t="s">
        <v>175</v>
      </c>
      <c r="D16" s="364" t="s">
        <v>176</v>
      </c>
      <c r="E16" s="364"/>
      <c r="F16" s="364"/>
    </row>
    <row r="17" spans="1:6" ht="29" customHeight="1" x14ac:dyDescent="0.15">
      <c r="A17" s="183" t="s">
        <v>292</v>
      </c>
      <c r="D17" s="364" t="s">
        <v>293</v>
      </c>
      <c r="E17" s="364"/>
      <c r="F17" s="364"/>
    </row>
    <row r="19" spans="1:6" ht="15" customHeight="1" x14ac:dyDescent="0.15">
      <c r="A19" s="351" t="s">
        <v>294</v>
      </c>
      <c r="B19" s="351"/>
      <c r="C19" s="351"/>
      <c r="D19" s="351"/>
      <c r="E19" s="351"/>
      <c r="F19" s="351"/>
    </row>
    <row r="20" spans="1:6" ht="15" customHeight="1" x14ac:dyDescent="0.15">
      <c r="B20" s="182" t="s">
        <v>152</v>
      </c>
      <c r="C20" s="182" t="s">
        <v>142</v>
      </c>
      <c r="D20" s="182" t="s">
        <v>268</v>
      </c>
    </row>
    <row r="21" spans="1:6" ht="15" customHeight="1" x14ac:dyDescent="0.15">
      <c r="A21" s="183" t="s">
        <v>295</v>
      </c>
      <c r="B21" s="225">
        <f>B42*'2. Cost Inputs'!D40+B42*'1. Technology Description'!B17/1000*'2. Cost Inputs'!D41</f>
        <v>7628906.25</v>
      </c>
      <c r="C21" s="227"/>
    </row>
    <row r="22" spans="1:6" ht="15" customHeight="1" x14ac:dyDescent="0.15">
      <c r="A22" s="183" t="s">
        <v>296</v>
      </c>
      <c r="B22" s="225">
        <f>B5+B11</f>
        <v>180000</v>
      </c>
      <c r="C22" s="227" t="s">
        <v>297</v>
      </c>
    </row>
    <row r="23" spans="1:6" ht="15" customHeight="1" x14ac:dyDescent="0.15">
      <c r="A23" s="183" t="s">
        <v>125</v>
      </c>
      <c r="B23" s="228">
        <f>B21+B22</f>
        <v>7808906.25</v>
      </c>
    </row>
    <row r="24" spans="1:6" ht="15" customHeight="1" x14ac:dyDescent="0.15">
      <c r="A24" s="183" t="s">
        <v>298</v>
      </c>
      <c r="B24" s="225">
        <f>B23*(1+'2. Cost Inputs'!B49+'2. Cost Inputs'!B50+'2. Cost Inputs'!B51+'2. Cost Inputs'!B52)</f>
        <v>14056031.249999998</v>
      </c>
      <c r="C24" s="227"/>
    </row>
    <row r="25" spans="1:6" ht="15" customHeight="1" x14ac:dyDescent="0.15">
      <c r="A25" s="183" t="s">
        <v>145</v>
      </c>
      <c r="B25" s="229">
        <f>('2. Cost Inputs'!B7*(1+'2. Cost Inputs'!B7)^'2. Cost Inputs'!B6)/((1+'2. Cost Inputs'!B7)^'2. Cost Inputs'!B6-1)</f>
        <v>0.13147377688737219</v>
      </c>
    </row>
    <row r="26" spans="1:6" ht="15" customHeight="1" x14ac:dyDescent="0.15">
      <c r="A26" s="183" t="s">
        <v>147</v>
      </c>
      <c r="B26" s="225">
        <f>B24*B25</f>
        <v>1847999.516484431</v>
      </c>
      <c r="C26" s="225">
        <f>B26/$B$43</f>
        <v>4325.47403577554</v>
      </c>
    </row>
    <row r="27" spans="1:6" ht="15" customHeight="1" x14ac:dyDescent="0.2">
      <c r="A27" s="183" t="s">
        <v>33</v>
      </c>
      <c r="B27" s="225">
        <f>B9</f>
        <v>3888000</v>
      </c>
      <c r="C27" s="225">
        <f>B27/$B$43</f>
        <v>9100.3503524114603</v>
      </c>
      <c r="D27" t="s">
        <v>923</v>
      </c>
    </row>
    <row r="28" spans="1:6" ht="15" customHeight="1" x14ac:dyDescent="0.15">
      <c r="A28" s="183" t="s">
        <v>299</v>
      </c>
      <c r="B28" s="225">
        <f>B6*B7</f>
        <v>540000</v>
      </c>
      <c r="C28" s="225">
        <f>B28/$B$43</f>
        <v>1263.9375489460363</v>
      </c>
    </row>
    <row r="29" spans="1:6" ht="15" customHeight="1" x14ac:dyDescent="0.15">
      <c r="A29" s="183" t="s">
        <v>300</v>
      </c>
      <c r="B29" s="225">
        <f>B10</f>
        <v>2000000</v>
      </c>
      <c r="C29" s="225">
        <f>B29/$B$43</f>
        <v>4681.2501812816154</v>
      </c>
    </row>
    <row r="30" spans="1:6" ht="15" customHeight="1" x14ac:dyDescent="0.15">
      <c r="A30" s="183" t="s">
        <v>109</v>
      </c>
      <c r="B30" s="225">
        <f>B24*'2. Cost Inputs'!B35</f>
        <v>983922.1875</v>
      </c>
      <c r="C30" s="225">
        <f>B30/$B$43</f>
        <v>2302.9929593006896</v>
      </c>
    </row>
    <row r="31" spans="1:6" ht="15" customHeight="1" x14ac:dyDescent="0.15">
      <c r="A31" s="230" t="s">
        <v>160</v>
      </c>
      <c r="B31" s="228">
        <f>(B26+B27+B28+B29+B30)</f>
        <v>9259921.7039844319</v>
      </c>
    </row>
    <row r="32" spans="1:6" ht="15" customHeight="1" x14ac:dyDescent="0.15">
      <c r="A32" s="230" t="s">
        <v>301</v>
      </c>
      <c r="C32" s="231">
        <f>B31/$B$43</f>
        <v>21674.005077715345</v>
      </c>
    </row>
    <row r="34" spans="1:6" ht="15" customHeight="1" x14ac:dyDescent="0.15">
      <c r="A34" s="351" t="s">
        <v>302</v>
      </c>
      <c r="B34" s="351"/>
      <c r="C34" s="351"/>
      <c r="D34" s="351"/>
      <c r="E34" s="351"/>
      <c r="F34" s="351"/>
    </row>
    <row r="35" spans="1:6" ht="15" customHeight="1" x14ac:dyDescent="0.15">
      <c r="B35" s="182" t="s">
        <v>14</v>
      </c>
      <c r="C35" s="182" t="s">
        <v>15</v>
      </c>
      <c r="D35" s="182" t="s">
        <v>268</v>
      </c>
    </row>
    <row r="36" spans="1:6" ht="15" customHeight="1" x14ac:dyDescent="0.15">
      <c r="A36" s="183" t="s">
        <v>303</v>
      </c>
      <c r="B36" s="225">
        <f>'3a. Outputs - Dedicated Vessel'!G5</f>
        <v>54047.97862812745</v>
      </c>
      <c r="C36" s="227" t="s">
        <v>304</v>
      </c>
    </row>
    <row r="37" spans="1:6" ht="15" customHeight="1" x14ac:dyDescent="0.15">
      <c r="A37" s="183" t="s">
        <v>305</v>
      </c>
      <c r="B37" s="231">
        <f>C32</f>
        <v>21674.005077715345</v>
      </c>
    </row>
    <row r="38" spans="1:6" ht="15" customHeight="1" x14ac:dyDescent="0.15">
      <c r="A38" s="232" t="s">
        <v>306</v>
      </c>
      <c r="B38" s="233">
        <f>B37/B36</f>
        <v>0.401014166077172</v>
      </c>
    </row>
    <row r="40" spans="1:6" x14ac:dyDescent="0.15">
      <c r="A40" s="170" t="s">
        <v>924</v>
      </c>
    </row>
    <row r="41" spans="1:6" ht="182" x14ac:dyDescent="0.15">
      <c r="A41" s="183" t="s">
        <v>925</v>
      </c>
      <c r="B41" s="221">
        <v>4500</v>
      </c>
      <c r="C41" s="227" t="s">
        <v>117</v>
      </c>
      <c r="D41" s="222" t="s">
        <v>926</v>
      </c>
    </row>
    <row r="42" spans="1:6" ht="39" x14ac:dyDescent="0.15">
      <c r="A42" s="183" t="s">
        <v>927</v>
      </c>
      <c r="B42" s="231">
        <f>B41*1000/'1. Technology Description'!B17</f>
        <v>8789.0625</v>
      </c>
      <c r="C42" s="227" t="s">
        <v>79</v>
      </c>
      <c r="D42" s="222" t="s">
        <v>928</v>
      </c>
    </row>
    <row r="43" spans="1:6" ht="52" x14ac:dyDescent="0.15">
      <c r="A43" s="183" t="s">
        <v>929</v>
      </c>
      <c r="B43" s="231">
        <f>($B$13+$B$14)*$B$42*'2. Cost Inputs'!$B$11</f>
        <v>427.23629854203762</v>
      </c>
      <c r="C43" s="227" t="s">
        <v>76</v>
      </c>
      <c r="D43" s="222" t="s">
        <v>930</v>
      </c>
    </row>
  </sheetData>
  <mergeCells count="14">
    <mergeCell ref="D16:F16"/>
    <mergeCell ref="D17:F17"/>
    <mergeCell ref="A19:F19"/>
    <mergeCell ref="A34:F34"/>
    <mergeCell ref="D8:F8"/>
    <mergeCell ref="D9:F9"/>
    <mergeCell ref="D10:F10"/>
    <mergeCell ref="A12:E12"/>
    <mergeCell ref="D13:F13"/>
    <mergeCell ref="A2:E2"/>
    <mergeCell ref="A3:E3"/>
    <mergeCell ref="D5:F5"/>
    <mergeCell ref="D6:F6"/>
    <mergeCell ref="D7:F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tint="-9.9978637043366805E-2"/>
  </sheetPr>
  <dimension ref="A1:G40"/>
  <sheetViews>
    <sheetView zoomScaleNormal="100" zoomScalePageLayoutView="60" workbookViewId="0">
      <selection activeCell="F15" sqref="F15"/>
    </sheetView>
  </sheetViews>
  <sheetFormatPr baseColWidth="10" defaultColWidth="8.6640625" defaultRowHeight="14" x14ac:dyDescent="0.15"/>
  <cols>
    <col min="1" max="1" width="40" style="167" customWidth="1"/>
    <col min="2" max="2" width="16" style="167" customWidth="1"/>
    <col min="3" max="3" width="18.83203125" style="167" customWidth="1"/>
    <col min="4" max="4" width="13" style="167" customWidth="1"/>
    <col min="5" max="5" width="46" style="167" customWidth="1"/>
    <col min="6" max="6" width="13" style="167" customWidth="1"/>
    <col min="7" max="7" width="55" style="167" customWidth="1"/>
    <col min="8" max="16384" width="8.6640625" style="167"/>
  </cols>
  <sheetData>
    <row r="1" spans="1:7" ht="15" customHeight="1" x14ac:dyDescent="0.15">
      <c r="A1" s="166" t="s">
        <v>307</v>
      </c>
    </row>
    <row r="2" spans="1:7" ht="29" customHeight="1" x14ac:dyDescent="0.15">
      <c r="A2" s="363" t="s">
        <v>308</v>
      </c>
      <c r="B2" s="363"/>
      <c r="C2" s="363"/>
      <c r="D2" s="363"/>
      <c r="E2" s="363"/>
    </row>
    <row r="3" spans="1:7" ht="15" customHeight="1" x14ac:dyDescent="0.15">
      <c r="A3" s="351" t="s">
        <v>309</v>
      </c>
      <c r="B3" s="351"/>
      <c r="C3" s="351"/>
      <c r="D3" s="351"/>
      <c r="E3" s="351"/>
    </row>
    <row r="4" spans="1:7" ht="15" customHeight="1" x14ac:dyDescent="0.15">
      <c r="B4" s="182" t="s">
        <v>14</v>
      </c>
      <c r="C4" s="182" t="s">
        <v>15</v>
      </c>
      <c r="D4" s="182" t="s">
        <v>268</v>
      </c>
      <c r="E4" s="182"/>
      <c r="F4" s="182"/>
      <c r="G4" s="182" t="s">
        <v>17</v>
      </c>
    </row>
    <row r="5" spans="1:7" ht="29" customHeight="1" x14ac:dyDescent="0.15">
      <c r="A5" s="183" t="s">
        <v>310</v>
      </c>
      <c r="B5" s="221">
        <v>3000000</v>
      </c>
      <c r="C5" s="185" t="s">
        <v>311</v>
      </c>
      <c r="D5" s="364" t="s">
        <v>312</v>
      </c>
      <c r="E5" s="364"/>
      <c r="F5" s="364"/>
      <c r="G5" s="222" t="s">
        <v>313</v>
      </c>
    </row>
    <row r="6" spans="1:7" ht="29" customHeight="1" x14ac:dyDescent="0.15">
      <c r="A6" s="183" t="s">
        <v>314</v>
      </c>
      <c r="B6" s="223">
        <v>1</v>
      </c>
      <c r="C6" s="185" t="s">
        <v>273</v>
      </c>
      <c r="D6" s="364" t="s">
        <v>315</v>
      </c>
      <c r="E6" s="364"/>
      <c r="F6" s="364"/>
      <c r="G6" s="222" t="s">
        <v>316</v>
      </c>
    </row>
    <row r="7" spans="1:7" ht="26" customHeight="1" x14ac:dyDescent="0.15">
      <c r="A7" s="183" t="s">
        <v>276</v>
      </c>
      <c r="B7" s="221">
        <v>180000</v>
      </c>
      <c r="C7" s="185" t="s">
        <v>225</v>
      </c>
      <c r="D7" s="364" t="s">
        <v>317</v>
      </c>
      <c r="E7" s="364" t="s">
        <v>318</v>
      </c>
      <c r="F7" s="364"/>
    </row>
    <row r="8" spans="1:7" ht="29" customHeight="1" x14ac:dyDescent="0.15">
      <c r="A8" s="183" t="s">
        <v>319</v>
      </c>
      <c r="B8" s="224">
        <v>0.15</v>
      </c>
      <c r="C8" s="185" t="s">
        <v>240</v>
      </c>
      <c r="D8" s="364" t="s">
        <v>320</v>
      </c>
      <c r="E8" s="364"/>
      <c r="F8" s="364"/>
      <c r="G8" s="222" t="s">
        <v>321</v>
      </c>
    </row>
    <row r="9" spans="1:7" ht="29" customHeight="1" x14ac:dyDescent="0.15">
      <c r="A9" s="183" t="s">
        <v>322</v>
      </c>
      <c r="B9" s="221">
        <v>250000</v>
      </c>
      <c r="C9" s="185" t="s">
        <v>311</v>
      </c>
      <c r="D9" s="364" t="s">
        <v>323</v>
      </c>
      <c r="E9" s="364"/>
      <c r="F9" s="364"/>
      <c r="G9" s="222" t="s">
        <v>324</v>
      </c>
    </row>
    <row r="10" spans="1:7" ht="26" customHeight="1" x14ac:dyDescent="0.15">
      <c r="A10" s="183" t="s">
        <v>325</v>
      </c>
      <c r="B10" s="221">
        <v>60000</v>
      </c>
      <c r="C10" s="185" t="s">
        <v>326</v>
      </c>
      <c r="D10" s="364" t="s">
        <v>327</v>
      </c>
      <c r="E10" s="364" t="s">
        <v>328</v>
      </c>
      <c r="F10" s="364"/>
    </row>
    <row r="12" spans="1:7" ht="15" customHeight="1" x14ac:dyDescent="0.15">
      <c r="A12" s="351" t="s">
        <v>164</v>
      </c>
      <c r="B12" s="351"/>
      <c r="C12" s="351"/>
      <c r="D12" s="351"/>
      <c r="E12" s="351"/>
    </row>
    <row r="13" spans="1:7" ht="16.5" customHeight="1" x14ac:dyDescent="0.15">
      <c r="A13" s="183" t="s">
        <v>165</v>
      </c>
      <c r="B13" s="226">
        <v>0</v>
      </c>
      <c r="C13" s="185" t="s">
        <v>166</v>
      </c>
      <c r="D13" s="364" t="s">
        <v>329</v>
      </c>
      <c r="E13" s="364"/>
      <c r="F13" s="364"/>
      <c r="G13" s="222" t="s">
        <v>330</v>
      </c>
    </row>
    <row r="14" spans="1:7" ht="29" customHeight="1" x14ac:dyDescent="0.15">
      <c r="A14" s="183" t="s">
        <v>169</v>
      </c>
      <c r="B14" s="226">
        <v>0.36529680365296802</v>
      </c>
      <c r="C14" s="185" t="s">
        <v>166</v>
      </c>
      <c r="D14" s="222" t="s">
        <v>331</v>
      </c>
      <c r="G14" s="208" t="s">
        <v>332</v>
      </c>
    </row>
    <row r="15" spans="1:7" ht="39" customHeight="1" x14ac:dyDescent="0.15">
      <c r="A15" s="183" t="s">
        <v>172</v>
      </c>
      <c r="B15" s="226">
        <v>0</v>
      </c>
      <c r="C15" s="185" t="s">
        <v>166</v>
      </c>
      <c r="D15" s="222" t="s">
        <v>333</v>
      </c>
      <c r="G15" s="208" t="s">
        <v>334</v>
      </c>
    </row>
    <row r="16" spans="1:7" ht="15" customHeight="1" x14ac:dyDescent="0.15">
      <c r="A16" s="183" t="s">
        <v>155</v>
      </c>
      <c r="B16" s="195">
        <f>(B13+B14+B15)*365*'2. Cost Inputs'!$B$5</f>
        <v>119.99999999999999</v>
      </c>
      <c r="C16" s="185" t="s">
        <v>175</v>
      </c>
      <c r="D16" s="364" t="s">
        <v>176</v>
      </c>
      <c r="E16" s="364"/>
      <c r="F16" s="364"/>
    </row>
    <row r="17" spans="1:6" ht="29" customHeight="1" x14ac:dyDescent="0.15">
      <c r="A17" s="183" t="s">
        <v>292</v>
      </c>
      <c r="D17" s="364" t="s">
        <v>335</v>
      </c>
      <c r="E17" s="364"/>
      <c r="F17" s="364"/>
    </row>
    <row r="19" spans="1:6" ht="15" customHeight="1" x14ac:dyDescent="0.15">
      <c r="A19" s="351" t="s">
        <v>294</v>
      </c>
      <c r="B19" s="351"/>
      <c r="C19" s="351"/>
      <c r="D19" s="351"/>
      <c r="E19" s="351"/>
      <c r="F19" s="351"/>
    </row>
    <row r="20" spans="1:6" ht="15" customHeight="1" x14ac:dyDescent="0.15">
      <c r="B20" s="182" t="s">
        <v>152</v>
      </c>
      <c r="C20" s="182" t="s">
        <v>142</v>
      </c>
      <c r="D20" s="182" t="s">
        <v>268</v>
      </c>
    </row>
    <row r="21" spans="1:6" ht="15" customHeight="1" x14ac:dyDescent="0.15">
      <c r="A21" s="183" t="s">
        <v>295</v>
      </c>
      <c r="B21" s="225">
        <f>'2. Cost Inputs'!B13*'2. Cost Inputs'!D40+'2. Cost Inputs'!B14*'2. Cost Inputs'!D41</f>
        <v>7066677.5217780676</v>
      </c>
      <c r="C21" s="227"/>
    </row>
    <row r="22" spans="1:6" ht="15" customHeight="1" x14ac:dyDescent="0.15">
      <c r="A22" s="183" t="s">
        <v>336</v>
      </c>
      <c r="B22" s="225">
        <f>'2. Cost Inputs'!D42</f>
        <v>25000</v>
      </c>
      <c r="C22" s="227" t="s">
        <v>337</v>
      </c>
    </row>
    <row r="23" spans="1:6" ht="15" customHeight="1" x14ac:dyDescent="0.15">
      <c r="A23" s="183" t="s">
        <v>338</v>
      </c>
      <c r="B23" s="225">
        <f>B5+B9</f>
        <v>3250000</v>
      </c>
      <c r="C23" s="227" t="s">
        <v>339</v>
      </c>
    </row>
    <row r="24" spans="1:6" ht="15" customHeight="1" x14ac:dyDescent="0.15">
      <c r="A24" s="183" t="s">
        <v>125</v>
      </c>
      <c r="B24" s="228">
        <f>B21+B22+B23</f>
        <v>10341677.521778068</v>
      </c>
    </row>
    <row r="25" spans="1:6" ht="15" customHeight="1" x14ac:dyDescent="0.15">
      <c r="A25" s="183" t="s">
        <v>340</v>
      </c>
      <c r="B25" s="225">
        <f>B24*(1+'2. Cost Inputs'!B49+'2. Cost Inputs'!B50+'2. Cost Inputs'!B51+'2. Cost Inputs'!B52)</f>
        <v>18615019.539200518</v>
      </c>
      <c r="C25" s="227"/>
    </row>
    <row r="26" spans="1:6" ht="15" customHeight="1" x14ac:dyDescent="0.15">
      <c r="A26" s="183" t="s">
        <v>145</v>
      </c>
      <c r="B26" s="229">
        <f>('2. Cost Inputs'!B7*(1+'2. Cost Inputs'!B7)^'2. Cost Inputs'!B6)/((1+'2. Cost Inputs'!B7)^'2. Cost Inputs'!B6-1)</f>
        <v>0.13147377688737219</v>
      </c>
    </row>
    <row r="27" spans="1:6" ht="15" customHeight="1" x14ac:dyDescent="0.15">
      <c r="A27" s="183" t="s">
        <v>147</v>
      </c>
      <c r="B27" s="225">
        <f>B25*B26</f>
        <v>2447386.925650923</v>
      </c>
      <c r="C27" s="225">
        <f>B27/(($B$13+$B$14)*'2. Cost Inputs'!$B$15)</f>
        <v>6184.1710942790305</v>
      </c>
    </row>
    <row r="28" spans="1:6" ht="15" customHeight="1" x14ac:dyDescent="0.15">
      <c r="A28" s="183" t="s">
        <v>341</v>
      </c>
      <c r="B28" s="225">
        <f>'2. Cost Inputs'!B24*B8*(($B$13+$B$14)*'2. Cost Inputs'!$B$15)</f>
        <v>1800732.7200195391</v>
      </c>
      <c r="C28" s="225">
        <f>B28/(($B$13+$B$14)*'2. Cost Inputs'!$B$15)</f>
        <v>4550.1751762057302</v>
      </c>
      <c r="D28" s="364" t="s">
        <v>850</v>
      </c>
      <c r="E28" s="364"/>
      <c r="F28" s="364"/>
    </row>
    <row r="29" spans="1:6" ht="15" customHeight="1" x14ac:dyDescent="0.15">
      <c r="A29" s="183" t="s">
        <v>299</v>
      </c>
      <c r="B29" s="225">
        <f>B6*B7</f>
        <v>180000</v>
      </c>
      <c r="C29" s="225">
        <f>B29/(($B$13+$B$14)*'2. Cost Inputs'!$B$15)</f>
        <v>454.83237051867661</v>
      </c>
      <c r="D29" s="364" t="s">
        <v>342</v>
      </c>
      <c r="E29" s="364"/>
      <c r="F29" s="364"/>
    </row>
    <row r="30" spans="1:6" ht="15" customHeight="1" x14ac:dyDescent="0.15">
      <c r="A30" s="183" t="s">
        <v>325</v>
      </c>
      <c r="B30" s="225">
        <f>B10</f>
        <v>60000</v>
      </c>
      <c r="C30" s="225">
        <f>B30/(($B$13+$B$14)*'2. Cost Inputs'!$B$15)</f>
        <v>151.61079017289219</v>
      </c>
    </row>
    <row r="31" spans="1:6" ht="15" customHeight="1" x14ac:dyDescent="0.15">
      <c r="A31" s="183" t="s">
        <v>109</v>
      </c>
      <c r="B31" s="225">
        <f>B25*'2. Cost Inputs'!B35</f>
        <v>1303051.3677440365</v>
      </c>
      <c r="C31" s="225">
        <f>B31/(($B$13+$B$14)*'2. Cost Inputs'!$B$15)</f>
        <v>3292.6107916590217</v>
      </c>
      <c r="D31" s="364" t="s">
        <v>343</v>
      </c>
      <c r="E31" s="364"/>
      <c r="F31" s="364"/>
    </row>
    <row r="32" spans="1:6" ht="15" customHeight="1" x14ac:dyDescent="0.15">
      <c r="A32" s="230" t="s">
        <v>160</v>
      </c>
      <c r="B32" s="228">
        <f>B27+B28+B29+B30+B31</f>
        <v>5791171.0134144984</v>
      </c>
    </row>
    <row r="33" spans="1:6" ht="15" customHeight="1" x14ac:dyDescent="0.15">
      <c r="A33" s="230" t="s">
        <v>301</v>
      </c>
      <c r="C33" s="231">
        <f>B32/(($B$13+$B$14)*'2. Cost Inputs'!$B$15)</f>
        <v>14633.400222835351</v>
      </c>
    </row>
    <row r="35" spans="1:6" ht="15" customHeight="1" x14ac:dyDescent="0.15">
      <c r="A35" s="351" t="s">
        <v>344</v>
      </c>
      <c r="B35" s="351"/>
      <c r="C35" s="351"/>
      <c r="D35" s="351"/>
      <c r="E35" s="351"/>
      <c r="F35" s="351"/>
    </row>
    <row r="36" spans="1:6" ht="15" customHeight="1" x14ac:dyDescent="0.15">
      <c r="B36" s="182" t="s">
        <v>14</v>
      </c>
      <c r="C36" s="182" t="s">
        <v>15</v>
      </c>
      <c r="D36" s="182" t="s">
        <v>268</v>
      </c>
    </row>
    <row r="37" spans="1:6" ht="15" customHeight="1" x14ac:dyDescent="0.15">
      <c r="A37" s="183" t="s">
        <v>303</v>
      </c>
      <c r="B37" s="225">
        <f>'3a. Outputs - Dedicated Vessel'!G5</f>
        <v>54047.97862812745</v>
      </c>
      <c r="C37" s="227"/>
    </row>
    <row r="38" spans="1:6" ht="15" customHeight="1" x14ac:dyDescent="0.15">
      <c r="A38" s="183" t="s">
        <v>305</v>
      </c>
      <c r="B38" s="225">
        <f>'3b. Outputs - Ship Piggyback'!C32</f>
        <v>21674.005077715345</v>
      </c>
      <c r="C38" s="227"/>
    </row>
    <row r="39" spans="1:6" ht="15" customHeight="1" x14ac:dyDescent="0.15">
      <c r="A39" s="183" t="s">
        <v>345</v>
      </c>
      <c r="B39" s="231">
        <f>C33</f>
        <v>14633.400222835351</v>
      </c>
    </row>
    <row r="40" spans="1:6" ht="15" customHeight="1" x14ac:dyDescent="0.15">
      <c r="A40" s="232" t="s">
        <v>306</v>
      </c>
      <c r="B40" s="233">
        <f>B39/B37</f>
        <v>0.27074833498435202</v>
      </c>
    </row>
  </sheetData>
  <mergeCells count="17">
    <mergeCell ref="D31:F31"/>
    <mergeCell ref="A35:F35"/>
    <mergeCell ref="D16:F16"/>
    <mergeCell ref="D17:F17"/>
    <mergeCell ref="A19:F19"/>
    <mergeCell ref="D28:F28"/>
    <mergeCell ref="D29:F29"/>
    <mergeCell ref="D8:F8"/>
    <mergeCell ref="D9:F9"/>
    <mergeCell ref="D10:F10"/>
    <mergeCell ref="A12:E12"/>
    <mergeCell ref="D13:F13"/>
    <mergeCell ref="A2:E2"/>
    <mergeCell ref="A3:E3"/>
    <mergeCell ref="D5:F5"/>
    <mergeCell ref="D6:F6"/>
    <mergeCell ref="D7:F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2" tint="-9.9978637043366805E-2"/>
  </sheetPr>
  <dimension ref="A1:G33"/>
  <sheetViews>
    <sheetView zoomScaleNormal="100" zoomScalePageLayoutView="60" workbookViewId="0">
      <selection activeCell="G13" sqref="G13"/>
    </sheetView>
  </sheetViews>
  <sheetFormatPr baseColWidth="10" defaultColWidth="8.6640625" defaultRowHeight="14" x14ac:dyDescent="0.15"/>
  <cols>
    <col min="1" max="1" width="40" style="167" customWidth="1"/>
    <col min="2" max="2" width="16" style="167" customWidth="1"/>
    <col min="3" max="3" width="13" style="167" customWidth="1"/>
    <col min="4" max="4" width="15" style="167" customWidth="1"/>
    <col min="5" max="5" width="46" style="167" customWidth="1"/>
    <col min="6" max="6" width="13" style="167" customWidth="1"/>
    <col min="7" max="7" width="55" style="167" customWidth="1"/>
    <col min="8" max="16384" width="8.6640625" style="167"/>
  </cols>
  <sheetData>
    <row r="1" spans="1:7" ht="21" customHeight="1" x14ac:dyDescent="0.15">
      <c r="A1" s="166" t="s">
        <v>346</v>
      </c>
    </row>
    <row r="2" spans="1:7" ht="16.5" customHeight="1" x14ac:dyDescent="0.15">
      <c r="A2" s="363" t="s">
        <v>347</v>
      </c>
      <c r="B2" s="363"/>
      <c r="C2" s="363"/>
      <c r="D2" s="363"/>
      <c r="E2" s="363"/>
    </row>
    <row r="3" spans="1:7" ht="15" customHeight="1" x14ac:dyDescent="0.15">
      <c r="A3" s="365" t="s">
        <v>164</v>
      </c>
      <c r="B3" s="365"/>
      <c r="C3" s="365"/>
      <c r="D3" s="365"/>
      <c r="E3" s="365"/>
      <c r="F3" s="365"/>
      <c r="G3" s="170" t="s">
        <v>17</v>
      </c>
    </row>
    <row r="4" spans="1:7" ht="16.5" customHeight="1" x14ac:dyDescent="0.15">
      <c r="A4" s="183" t="s">
        <v>165</v>
      </c>
      <c r="B4" s="226">
        <v>0</v>
      </c>
      <c r="C4" s="185" t="s">
        <v>166</v>
      </c>
      <c r="D4" s="364" t="s">
        <v>348</v>
      </c>
      <c r="E4" s="364"/>
      <c r="F4" s="364"/>
      <c r="G4" s="222" t="s">
        <v>349</v>
      </c>
    </row>
    <row r="5" spans="1:7" ht="26" customHeight="1" x14ac:dyDescent="0.15">
      <c r="A5" s="183" t="s">
        <v>169</v>
      </c>
      <c r="B5" s="226">
        <v>0.36529680365296802</v>
      </c>
      <c r="C5" s="185" t="s">
        <v>166</v>
      </c>
      <c r="D5" s="364" t="s">
        <v>350</v>
      </c>
      <c r="E5" s="364"/>
      <c r="F5" s="364"/>
      <c r="G5" s="222" t="s">
        <v>351</v>
      </c>
    </row>
    <row r="6" spans="1:7" ht="29" customHeight="1" x14ac:dyDescent="0.15">
      <c r="A6" s="183" t="s">
        <v>172</v>
      </c>
      <c r="B6" s="226">
        <v>1.2176560121765601E-2</v>
      </c>
      <c r="C6" s="185" t="s">
        <v>166</v>
      </c>
      <c r="D6" s="364" t="s">
        <v>352</v>
      </c>
      <c r="E6" s="364"/>
      <c r="F6" s="364"/>
      <c r="G6" s="222" t="s">
        <v>353</v>
      </c>
    </row>
    <row r="7" spans="1:7" ht="15" customHeight="1" x14ac:dyDescent="0.15">
      <c r="A7" s="183" t="s">
        <v>155</v>
      </c>
      <c r="B7" s="195">
        <f>(B4+B5+B6)*365*'2. Cost Inputs'!$B$5</f>
        <v>124</v>
      </c>
      <c r="C7" s="185" t="s">
        <v>175</v>
      </c>
      <c r="D7" s="364" t="s">
        <v>176</v>
      </c>
      <c r="E7" s="364"/>
      <c r="F7" s="364"/>
    </row>
    <row r="8" spans="1:7" ht="15" customHeight="1" x14ac:dyDescent="0.15">
      <c r="A8" s="183" t="s">
        <v>177</v>
      </c>
      <c r="B8" s="195">
        <f>(B4+B5)*'2. Cost Inputs'!$B$15</f>
        <v>395.75019648389059</v>
      </c>
      <c r="C8" s="185" t="s">
        <v>76</v>
      </c>
      <c r="D8" s="364" t="s">
        <v>178</v>
      </c>
      <c r="E8" s="364"/>
      <c r="F8" s="364"/>
    </row>
    <row r="9" spans="1:7" ht="15" customHeight="1" x14ac:dyDescent="0.15">
      <c r="A9" s="183" t="s">
        <v>354</v>
      </c>
      <c r="B9" s="195">
        <f>'3a. Outputs - Dedicated Vessel'!$B$26*'2. Cost Inputs'!B27/'2. Cost Inputs'!B26</f>
        <v>333.33333333333331</v>
      </c>
      <c r="C9" s="185" t="s">
        <v>175</v>
      </c>
      <c r="D9" s="364" t="s">
        <v>355</v>
      </c>
      <c r="E9" s="364"/>
      <c r="F9" s="364"/>
    </row>
    <row r="10" spans="1:7" ht="15" customHeight="1" x14ac:dyDescent="0.15">
      <c r="A10" s="183" t="s">
        <v>356</v>
      </c>
      <c r="B10" s="195">
        <f>ROUNDUP(B7/B9,0)</f>
        <v>1</v>
      </c>
      <c r="C10" s="185" t="s">
        <v>357</v>
      </c>
      <c r="D10" s="364" t="s">
        <v>358</v>
      </c>
      <c r="E10" s="364"/>
      <c r="F10" s="364"/>
    </row>
    <row r="11" spans="1:7" ht="15" customHeight="1" x14ac:dyDescent="0.15">
      <c r="A11" s="183" t="s">
        <v>184</v>
      </c>
      <c r="B11" s="195">
        <f>B7*'2. Cost Inputs'!B26</f>
        <v>334800</v>
      </c>
      <c r="C11" s="185" t="s">
        <v>182</v>
      </c>
      <c r="D11" s="364" t="s">
        <v>185</v>
      </c>
      <c r="E11" s="364"/>
      <c r="F11" s="364"/>
    </row>
    <row r="12" spans="1:7" ht="15" customHeight="1" x14ac:dyDescent="0.15">
      <c r="A12" s="183" t="s">
        <v>359</v>
      </c>
      <c r="B12" s="195">
        <f>(B4+B6)*365*'2. Cost Inputs'!$B$5*'2. Cost Inputs'!B25</f>
        <v>64000</v>
      </c>
      <c r="C12" s="185" t="s">
        <v>182</v>
      </c>
      <c r="D12" s="364" t="s">
        <v>183</v>
      </c>
      <c r="E12" s="364"/>
      <c r="F12" s="364"/>
    </row>
    <row r="15" spans="1:7" ht="15" customHeight="1" x14ac:dyDescent="0.15">
      <c r="A15" s="351" t="s">
        <v>294</v>
      </c>
      <c r="B15" s="351"/>
      <c r="C15" s="351"/>
      <c r="D15" s="351"/>
      <c r="E15" s="351"/>
      <c r="F15" s="351"/>
    </row>
    <row r="16" spans="1:7" ht="15" customHeight="1" x14ac:dyDescent="0.15">
      <c r="B16" s="234" t="s">
        <v>152</v>
      </c>
      <c r="C16" s="234" t="s">
        <v>142</v>
      </c>
      <c r="D16" s="234" t="s">
        <v>268</v>
      </c>
    </row>
    <row r="17" spans="1:6" ht="15" customHeight="1" x14ac:dyDescent="0.15">
      <c r="A17" s="183" t="s">
        <v>145</v>
      </c>
      <c r="B17" s="229">
        <f>('2. Cost Inputs'!B7*(1+'2. Cost Inputs'!B7)^'2. Cost Inputs'!B6)/((1+'2. Cost Inputs'!B7)^'2. Cost Inputs'!B6-1)</f>
        <v>0.13147377688737219</v>
      </c>
    </row>
    <row r="18" spans="1:6" ht="15" customHeight="1" x14ac:dyDescent="0.15">
      <c r="A18" s="183" t="s">
        <v>147</v>
      </c>
      <c r="B18" s="225">
        <f>'2. Cost Inputs'!B53*B17</f>
        <v>9566691.9441021271</v>
      </c>
      <c r="C18" s="225">
        <f t="shared" ref="C18:C24" si="0">B18/$B$8</f>
        <v>24173.56208309943</v>
      </c>
    </row>
    <row r="19" spans="1:6" ht="15" customHeight="1" x14ac:dyDescent="0.15">
      <c r="A19" s="183" t="s">
        <v>360</v>
      </c>
      <c r="B19" s="225">
        <f>'2. Cost Inputs'!B24*'2. Cost Inputs'!D24*$B$8</f>
        <v>3601465.4400390782</v>
      </c>
      <c r="C19" s="225">
        <f t="shared" si="0"/>
        <v>9100.3503524114603</v>
      </c>
    </row>
    <row r="20" spans="1:6" ht="15" customHeight="1" x14ac:dyDescent="0.15">
      <c r="A20" s="183" t="s">
        <v>150</v>
      </c>
      <c r="B20" s="225">
        <f>'2. Cost Inputs'!B28*'2. Cost Inputs'!D28*$B$8</f>
        <v>6229.4097533175927</v>
      </c>
      <c r="C20" s="225">
        <f t="shared" si="0"/>
        <v>15.740762250186696</v>
      </c>
    </row>
    <row r="21" spans="1:6" ht="15" customHeight="1" x14ac:dyDescent="0.15">
      <c r="A21" s="183" t="s">
        <v>153</v>
      </c>
      <c r="B21" s="225">
        <f>'2. Cost Inputs'!B20*'2. Cost Inputs'!D20*$B$8</f>
        <v>0</v>
      </c>
      <c r="C21" s="225">
        <f t="shared" si="0"/>
        <v>0</v>
      </c>
    </row>
    <row r="22" spans="1:6" ht="15" customHeight="1" x14ac:dyDescent="0.15">
      <c r="A22" s="183" t="s">
        <v>105</v>
      </c>
      <c r="B22" s="225">
        <f>'2. Cost Inputs'!B31*'2. Cost Inputs'!D31</f>
        <v>900000</v>
      </c>
      <c r="C22" s="225">
        <f t="shared" si="0"/>
        <v>2274.1618525933832</v>
      </c>
    </row>
    <row r="23" spans="1:6" ht="15" customHeight="1" x14ac:dyDescent="0.15">
      <c r="A23" s="183" t="s">
        <v>109</v>
      </c>
      <c r="B23" s="225">
        <f>'2. Cost Inputs'!B53*'2. Cost Inputs'!B35</f>
        <v>5093551.367744037</v>
      </c>
      <c r="C23" s="225">
        <f t="shared" si="0"/>
        <v>12870.622460831488</v>
      </c>
    </row>
    <row r="24" spans="1:6" ht="15" customHeight="1" x14ac:dyDescent="0.15">
      <c r="A24" s="183" t="s">
        <v>361</v>
      </c>
      <c r="B24" s="225">
        <f>(B11+B12)*'2. Cost Inputs'!D26</f>
        <v>358920</v>
      </c>
      <c r="C24" s="225">
        <f t="shared" si="0"/>
        <v>906.93574681424116</v>
      </c>
      <c r="D24" s="364" t="s">
        <v>362</v>
      </c>
      <c r="E24" s="364"/>
      <c r="F24" s="364"/>
    </row>
    <row r="25" spans="1:6" ht="15" customHeight="1" x14ac:dyDescent="0.15">
      <c r="A25" s="230" t="s">
        <v>160</v>
      </c>
      <c r="B25" s="228">
        <f>SUM(B18:B24)</f>
        <v>19526858.161638558</v>
      </c>
    </row>
    <row r="26" spans="1:6" ht="15" customHeight="1" x14ac:dyDescent="0.15">
      <c r="A26" s="230" t="s">
        <v>301</v>
      </c>
      <c r="C26" s="231">
        <f>B25/$B$8</f>
        <v>49341.373258000182</v>
      </c>
    </row>
    <row r="28" spans="1:6" ht="15" customHeight="1" x14ac:dyDescent="0.15">
      <c r="A28" s="351" t="s">
        <v>363</v>
      </c>
      <c r="B28" s="351"/>
      <c r="C28" s="351"/>
      <c r="D28" s="351"/>
      <c r="E28" s="351"/>
      <c r="F28" s="351"/>
    </row>
    <row r="29" spans="1:6" ht="15" customHeight="1" x14ac:dyDescent="0.15">
      <c r="B29" s="234" t="s">
        <v>14</v>
      </c>
      <c r="C29" s="234" t="s">
        <v>15</v>
      </c>
      <c r="D29" s="234" t="s">
        <v>268</v>
      </c>
    </row>
    <row r="30" spans="1:6" ht="15" customHeight="1" x14ac:dyDescent="0.15">
      <c r="A30" s="183" t="s">
        <v>364</v>
      </c>
      <c r="B30" s="225">
        <f>'3a. Outputs - Dedicated Vessel'!G5</f>
        <v>54047.97862812745</v>
      </c>
      <c r="C30" s="227" t="s">
        <v>304</v>
      </c>
    </row>
    <row r="31" spans="1:6" ht="15" customHeight="1" x14ac:dyDescent="0.15">
      <c r="A31" s="183" t="s">
        <v>365</v>
      </c>
      <c r="B31" s="231">
        <f>C26</f>
        <v>49341.373258000182</v>
      </c>
    </row>
    <row r="32" spans="1:6" ht="15" customHeight="1" x14ac:dyDescent="0.15">
      <c r="A32" s="183" t="s">
        <v>366</v>
      </c>
      <c r="B32" s="225">
        <f>B30-B31</f>
        <v>4706.6053701272685</v>
      </c>
      <c r="C32" s="185" t="s">
        <v>367</v>
      </c>
    </row>
    <row r="33" spans="1:2" ht="15" customHeight="1" x14ac:dyDescent="0.15">
      <c r="A33" s="232" t="s">
        <v>368</v>
      </c>
      <c r="B33" s="233">
        <f>B31/B30</f>
        <v>0.91291801303966114</v>
      </c>
    </row>
  </sheetData>
  <mergeCells count="14">
    <mergeCell ref="A15:F15"/>
    <mergeCell ref="D24:F24"/>
    <mergeCell ref="A28:F28"/>
    <mergeCell ref="A3:F3"/>
    <mergeCell ref="D7:F7"/>
    <mergeCell ref="D8:F8"/>
    <mergeCell ref="D9:F9"/>
    <mergeCell ref="D10:F10"/>
    <mergeCell ref="D11:F11"/>
    <mergeCell ref="A2:E2"/>
    <mergeCell ref="D4:F4"/>
    <mergeCell ref="D5:F5"/>
    <mergeCell ref="D6:F6"/>
    <mergeCell ref="D12:F1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9"/>
  <sheetViews>
    <sheetView zoomScaleNormal="100" zoomScalePageLayoutView="60" workbookViewId="0">
      <selection activeCell="D23" sqref="D23"/>
    </sheetView>
  </sheetViews>
  <sheetFormatPr baseColWidth="10" defaultColWidth="8.6640625" defaultRowHeight="14" x14ac:dyDescent="0.15"/>
  <cols>
    <col min="1" max="1" width="38" style="167" customWidth="1"/>
    <col min="2" max="3" width="18" style="167" customWidth="1"/>
    <col min="4" max="4" width="20" style="167" customWidth="1"/>
    <col min="5" max="5" width="50" style="167" customWidth="1"/>
    <col min="6" max="16384" width="8.6640625" style="167"/>
  </cols>
  <sheetData>
    <row r="1" spans="1:5" ht="18.5" customHeight="1" x14ac:dyDescent="0.15">
      <c r="A1" s="166" t="s">
        <v>762</v>
      </c>
    </row>
    <row r="2" spans="1:5" ht="30" customHeight="1" x14ac:dyDescent="0.15">
      <c r="A2" s="364" t="s">
        <v>763</v>
      </c>
      <c r="B2" s="366"/>
      <c r="C2" s="366"/>
      <c r="D2" s="366"/>
      <c r="E2" s="366"/>
    </row>
    <row r="4" spans="1:5" x14ac:dyDescent="0.15">
      <c r="A4" s="351" t="s">
        <v>186</v>
      </c>
      <c r="B4" s="366"/>
      <c r="C4" s="366"/>
      <c r="D4" s="366"/>
      <c r="E4" s="366"/>
    </row>
    <row r="5" spans="1:5" x14ac:dyDescent="0.15">
      <c r="A5" s="235" t="s">
        <v>764</v>
      </c>
      <c r="B5" s="235" t="s">
        <v>367</v>
      </c>
      <c r="C5" s="235" t="s">
        <v>152</v>
      </c>
      <c r="D5" s="235" t="s">
        <v>765</v>
      </c>
      <c r="E5" s="235" t="s">
        <v>766</v>
      </c>
    </row>
    <row r="6" spans="1:5" ht="15" customHeight="1" x14ac:dyDescent="0.15">
      <c r="A6" s="183" t="s">
        <v>767</v>
      </c>
      <c r="B6" s="225">
        <f>'3a. Outputs - Dedicated Vessel'!G5</f>
        <v>54047.97862812745</v>
      </c>
      <c r="C6" s="225">
        <f>'3a. Outputs - Dedicated Vessel'!B13</f>
        <v>21389498.161638558</v>
      </c>
      <c r="D6" s="183" t="s">
        <v>768</v>
      </c>
      <c r="E6" s="183" t="s">
        <v>769</v>
      </c>
    </row>
    <row r="7" spans="1:5" ht="15" customHeight="1" x14ac:dyDescent="0.15">
      <c r="A7" s="183" t="s">
        <v>770</v>
      </c>
      <c r="B7" s="225">
        <f>'3b. Outputs - Ship Piggyback'!C32</f>
        <v>21674.005077715345</v>
      </c>
      <c r="C7" s="225">
        <f>'3b. Outputs - Ship Piggyback'!B31</f>
        <v>9259921.7039844319</v>
      </c>
      <c r="D7" s="236">
        <f>'3b. Outputs - Ship Piggyback'!B38</f>
        <v>0.401014166077172</v>
      </c>
      <c r="E7" s="183" t="s">
        <v>771</v>
      </c>
    </row>
    <row r="8" spans="1:5" ht="15" customHeight="1" x14ac:dyDescent="0.15">
      <c r="A8" s="183" t="s">
        <v>772</v>
      </c>
      <c r="B8" s="225">
        <f>'3c. Outputs - Fixed Platform'!C33</f>
        <v>14633.400222835351</v>
      </c>
      <c r="C8" s="225">
        <f>'3c. Outputs - Fixed Platform'!B32</f>
        <v>5791171.0134144984</v>
      </c>
      <c r="D8" s="236">
        <f>'3c. Outputs - Fixed Platform'!B40</f>
        <v>0.27074833498435202</v>
      </c>
      <c r="E8" s="183" t="s">
        <v>773</v>
      </c>
    </row>
    <row r="9" spans="1:5" ht="15" customHeight="1" x14ac:dyDescent="0.15">
      <c r="A9" s="183" t="s">
        <v>774</v>
      </c>
      <c r="B9" s="225">
        <f>'3d. Outputs - Stationary Vessel'!C26</f>
        <v>49341.373258000182</v>
      </c>
      <c r="C9" s="225">
        <f>'3d. Outputs - Stationary Vessel'!B25</f>
        <v>19526858.161638558</v>
      </c>
      <c r="D9" s="236">
        <f>'3d. Outputs - Stationary Vessel'!B33</f>
        <v>0.91291801303966114</v>
      </c>
      <c r="E9" s="183" t="s">
        <v>775</v>
      </c>
    </row>
  </sheetData>
  <mergeCells count="2">
    <mergeCell ref="A2:E2"/>
    <mergeCell ref="A4:E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4"/>
  <sheetViews>
    <sheetView zoomScaleNormal="100" zoomScalePageLayoutView="60" workbookViewId="0">
      <selection activeCell="B19" sqref="B19"/>
    </sheetView>
  </sheetViews>
  <sheetFormatPr baseColWidth="10" defaultColWidth="8.6640625" defaultRowHeight="15" x14ac:dyDescent="0.2"/>
  <cols>
    <col min="1" max="1" width="40" customWidth="1"/>
    <col min="2" max="2" width="15" customWidth="1"/>
    <col min="3" max="3" width="16.33203125" customWidth="1"/>
    <col min="4" max="5" width="13" customWidth="1"/>
    <col min="6" max="6" width="14" customWidth="1"/>
    <col min="7" max="7" width="39.33203125" customWidth="1"/>
    <col min="8" max="8" width="55" customWidth="1"/>
    <col min="9" max="9" width="14" customWidth="1"/>
    <col min="10" max="10" width="12" customWidth="1"/>
  </cols>
  <sheetData>
    <row r="1" spans="1:8" ht="23.25" customHeight="1" x14ac:dyDescent="0.2">
      <c r="A1" s="367" t="s">
        <v>369</v>
      </c>
      <c r="B1" s="367"/>
      <c r="C1" s="367"/>
      <c r="D1" s="367"/>
      <c r="E1" s="367"/>
      <c r="F1" s="367"/>
      <c r="G1" s="367"/>
    </row>
    <row r="2" spans="1:8" ht="27.75" customHeight="1" x14ac:dyDescent="0.2">
      <c r="A2" s="368" t="s">
        <v>370</v>
      </c>
      <c r="B2" s="368"/>
      <c r="C2" s="368"/>
      <c r="D2" s="368"/>
      <c r="E2" s="368"/>
      <c r="F2" s="368"/>
      <c r="G2" s="368"/>
    </row>
    <row r="4" spans="1:8" ht="19.5" customHeight="1" thickBot="1" x14ac:dyDescent="0.25">
      <c r="A4" s="3" t="s">
        <v>57</v>
      </c>
      <c r="B4" s="3"/>
      <c r="C4" s="3"/>
      <c r="D4" s="3"/>
      <c r="E4" s="3"/>
      <c r="F4" s="3"/>
      <c r="G4" s="3"/>
      <c r="H4" s="4" t="s">
        <v>17</v>
      </c>
    </row>
    <row r="5" spans="1:8" ht="66.5" customHeight="1" x14ac:dyDescent="0.2">
      <c r="A5" s="9" t="s">
        <v>371</v>
      </c>
      <c r="B5" s="95">
        <v>0.3</v>
      </c>
      <c r="C5" s="10" t="s">
        <v>64</v>
      </c>
      <c r="D5" s="354" t="s">
        <v>372</v>
      </c>
      <c r="E5" s="354"/>
      <c r="F5" s="354"/>
      <c r="G5" s="354"/>
      <c r="H5" s="2" t="s">
        <v>792</v>
      </c>
    </row>
    <row r="6" spans="1:8" ht="79" customHeight="1" x14ac:dyDescent="0.2">
      <c r="A6" s="9" t="s">
        <v>373</v>
      </c>
      <c r="B6" s="15">
        <v>900</v>
      </c>
      <c r="C6" s="10" t="s">
        <v>374</v>
      </c>
      <c r="D6" s="354" t="s">
        <v>375</v>
      </c>
      <c r="E6" s="354"/>
      <c r="F6" s="354"/>
      <c r="G6" s="354"/>
      <c r="H6" s="2" t="s">
        <v>793</v>
      </c>
    </row>
    <row r="7" spans="1:8" ht="19.5" customHeight="1" x14ac:dyDescent="0.2">
      <c r="A7" s="3" t="s">
        <v>376</v>
      </c>
      <c r="B7" s="3"/>
      <c r="C7" s="3"/>
      <c r="D7" s="3"/>
      <c r="E7" s="3"/>
      <c r="F7" s="3"/>
      <c r="G7" s="3"/>
    </row>
    <row r="8" spans="1:8" ht="12.75" customHeight="1" x14ac:dyDescent="0.2">
      <c r="A8" s="9" t="s">
        <v>25</v>
      </c>
      <c r="B8" s="96">
        <f>'1. Technology Description'!B11</f>
        <v>2.6198344541875775E+20</v>
      </c>
      <c r="C8" s="10" t="s">
        <v>377</v>
      </c>
      <c r="D8" s="354" t="s">
        <v>378</v>
      </c>
      <c r="E8" s="354"/>
      <c r="F8" s="354"/>
      <c r="G8" s="354"/>
    </row>
    <row r="9" spans="1:8" ht="49" customHeight="1" x14ac:dyDescent="0.2">
      <c r="A9" s="9" t="s">
        <v>379</v>
      </c>
      <c r="B9" s="15">
        <v>100</v>
      </c>
      <c r="C9" s="10" t="s">
        <v>380</v>
      </c>
      <c r="D9" s="354" t="s">
        <v>381</v>
      </c>
      <c r="E9" s="354"/>
      <c r="F9" s="354"/>
      <c r="G9" s="354"/>
      <c r="H9" s="2" t="s">
        <v>794</v>
      </c>
    </row>
    <row r="10" spans="1:8" ht="29" customHeight="1" x14ac:dyDescent="0.2">
      <c r="A10" s="9" t="s">
        <v>382</v>
      </c>
      <c r="B10" s="16">
        <f>(B18-1)*B9</f>
        <v>30.000000000000004</v>
      </c>
      <c r="C10" s="10" t="s">
        <v>380</v>
      </c>
      <c r="D10" s="354" t="s">
        <v>383</v>
      </c>
      <c r="E10" s="354"/>
      <c r="F10" s="354"/>
      <c r="G10" s="354"/>
    </row>
    <row r="11" spans="1:8" ht="41.5" customHeight="1" x14ac:dyDescent="0.2">
      <c r="A11" s="9" t="s">
        <v>384</v>
      </c>
      <c r="B11" s="16">
        <f>B8*B5/(B10*1000000*B6*1000000)</f>
        <v>2910.9271713195303</v>
      </c>
      <c r="C11" s="10" t="s">
        <v>385</v>
      </c>
      <c r="D11" s="354" t="s">
        <v>386</v>
      </c>
      <c r="E11" s="354"/>
      <c r="F11" s="354"/>
      <c r="G11" s="354"/>
    </row>
    <row r="12" spans="1:8" ht="41.5" customHeight="1" x14ac:dyDescent="0.2">
      <c r="A12" s="9" t="s">
        <v>387</v>
      </c>
      <c r="B12" s="11">
        <v>50</v>
      </c>
      <c r="C12" s="10" t="s">
        <v>24</v>
      </c>
      <c r="D12" s="354" t="s">
        <v>388</v>
      </c>
      <c r="E12" s="354"/>
      <c r="F12" s="354"/>
      <c r="G12" s="354"/>
      <c r="H12" s="2" t="s">
        <v>795</v>
      </c>
    </row>
    <row r="13" spans="1:8" ht="29" customHeight="1" x14ac:dyDescent="0.2">
      <c r="A13" s="97" t="s">
        <v>851</v>
      </c>
      <c r="B13" s="20">
        <v>0.43</v>
      </c>
      <c r="C13" s="97" t="s">
        <v>64</v>
      </c>
      <c r="D13" s="369" t="s">
        <v>852</v>
      </c>
      <c r="E13" s="369"/>
      <c r="F13" s="369"/>
      <c r="G13" s="369"/>
    </row>
    <row r="14" spans="1:8" ht="19.5" customHeight="1" x14ac:dyDescent="0.2">
      <c r="A14" s="3" t="s">
        <v>59</v>
      </c>
      <c r="B14" s="7"/>
      <c r="C14" s="7"/>
      <c r="D14" s="7"/>
      <c r="E14" s="7"/>
      <c r="F14" s="7"/>
      <c r="G14" s="7"/>
    </row>
    <row r="15" spans="1:8" ht="18" customHeight="1" thickBot="1" x14ac:dyDescent="0.25">
      <c r="A15" s="21"/>
      <c r="B15" s="98" t="s">
        <v>14</v>
      </c>
      <c r="C15" s="98" t="s">
        <v>15</v>
      </c>
      <c r="D15" s="370" t="s">
        <v>268</v>
      </c>
      <c r="E15" s="370"/>
      <c r="F15" s="370"/>
      <c r="G15" s="370"/>
      <c r="H15" s="4" t="s">
        <v>17</v>
      </c>
    </row>
    <row r="16" spans="1:8" ht="28.5" customHeight="1" x14ac:dyDescent="0.2">
      <c r="A16" s="9" t="s">
        <v>389</v>
      </c>
      <c r="B16" s="18">
        <v>475</v>
      </c>
      <c r="C16" s="10" t="s">
        <v>390</v>
      </c>
      <c r="D16" s="354" t="s">
        <v>391</v>
      </c>
      <c r="E16" s="354"/>
      <c r="F16" s="354"/>
      <c r="G16" s="354"/>
      <c r="H16" s="2" t="s">
        <v>796</v>
      </c>
    </row>
    <row r="17" spans="1:8" ht="26" customHeight="1" x14ac:dyDescent="0.2">
      <c r="A17" s="9" t="s">
        <v>392</v>
      </c>
      <c r="B17" s="18">
        <v>0.4</v>
      </c>
      <c r="C17" s="10" t="s">
        <v>393</v>
      </c>
      <c r="D17" s="354" t="s">
        <v>394</v>
      </c>
      <c r="E17" s="354"/>
      <c r="F17" s="354"/>
      <c r="G17" s="354"/>
      <c r="H17" s="2" t="s">
        <v>817</v>
      </c>
    </row>
    <row r="18" spans="1:8" ht="29" customHeight="1" x14ac:dyDescent="0.2">
      <c r="A18" s="9" t="s">
        <v>395</v>
      </c>
      <c r="B18" s="99">
        <v>1.3</v>
      </c>
      <c r="C18" s="10" t="s">
        <v>396</v>
      </c>
      <c r="D18" s="354" t="s">
        <v>397</v>
      </c>
      <c r="E18" s="354"/>
      <c r="F18" s="354"/>
      <c r="G18" s="354"/>
    </row>
    <row r="19" spans="1:8" ht="12.75" customHeight="1" x14ac:dyDescent="0.2">
      <c r="A19" s="34" t="s">
        <v>398</v>
      </c>
      <c r="B19" s="100">
        <f>B16*B17*(1-B17)*(1/3)*LN(B18)</f>
        <v>9.9698420497646598</v>
      </c>
      <c r="C19" s="10" t="s">
        <v>390</v>
      </c>
      <c r="D19" s="354" t="s">
        <v>399</v>
      </c>
      <c r="E19" s="354"/>
      <c r="F19" s="354"/>
      <c r="G19" s="354"/>
    </row>
    <row r="20" spans="1:8" ht="34.5" customHeight="1" x14ac:dyDescent="0.2">
      <c r="A20" s="9" t="s">
        <v>400</v>
      </c>
      <c r="B20" s="101">
        <v>0.4</v>
      </c>
      <c r="C20" s="10"/>
      <c r="D20" s="371" t="s">
        <v>401</v>
      </c>
      <c r="E20" s="371"/>
      <c r="F20" s="371"/>
      <c r="G20" s="371"/>
      <c r="H20" s="30" t="s">
        <v>402</v>
      </c>
    </row>
    <row r="21" spans="1:8" ht="41.5" customHeight="1" x14ac:dyDescent="0.2">
      <c r="A21" s="97" t="s">
        <v>403</v>
      </c>
      <c r="B21" s="102">
        <v>0.2</v>
      </c>
      <c r="C21" s="97"/>
      <c r="D21" s="354" t="s">
        <v>404</v>
      </c>
      <c r="E21" s="354"/>
      <c r="F21" s="354"/>
      <c r="G21" s="354"/>
      <c r="H21" s="2" t="s">
        <v>798</v>
      </c>
    </row>
    <row r="22" spans="1:8" ht="13.5" customHeight="1" x14ac:dyDescent="0.2">
      <c r="A22" s="97" t="s">
        <v>405</v>
      </c>
      <c r="B22">
        <f>B21*B20</f>
        <v>8.0000000000000016E-2</v>
      </c>
      <c r="C22" s="97"/>
      <c r="D22" s="354" t="s">
        <v>406</v>
      </c>
      <c r="E22" s="354"/>
      <c r="F22" s="354"/>
      <c r="G22" s="354"/>
    </row>
    <row r="23" spans="1:8" ht="19.5" customHeight="1" x14ac:dyDescent="0.2">
      <c r="A23" s="3" t="s">
        <v>407</v>
      </c>
      <c r="B23" s="1"/>
      <c r="C23" s="1"/>
      <c r="D23" s="1"/>
      <c r="E23" s="1"/>
      <c r="F23" s="1"/>
      <c r="G23" s="1"/>
      <c r="H23" s="34"/>
    </row>
    <row r="24" spans="1:8" ht="26" customHeight="1" x14ac:dyDescent="0.2">
      <c r="A24" s="9" t="s">
        <v>408</v>
      </c>
      <c r="B24" s="15">
        <v>3</v>
      </c>
      <c r="C24" s="10" t="s">
        <v>175</v>
      </c>
      <c r="D24" s="354" t="s">
        <v>409</v>
      </c>
      <c r="E24" s="354"/>
      <c r="F24" s="354"/>
      <c r="G24" s="354"/>
      <c r="H24" s="2" t="s">
        <v>410</v>
      </c>
    </row>
    <row r="25" spans="1:8" ht="54" customHeight="1" x14ac:dyDescent="0.2">
      <c r="A25" s="9" t="s">
        <v>411</v>
      </c>
      <c r="B25" s="103">
        <v>2.2499999999999999E-2</v>
      </c>
      <c r="C25" s="10" t="s">
        <v>412</v>
      </c>
      <c r="D25" s="354" t="s">
        <v>413</v>
      </c>
      <c r="E25" s="354"/>
      <c r="F25" s="354"/>
      <c r="G25" s="354"/>
      <c r="H25" s="2" t="s">
        <v>797</v>
      </c>
    </row>
    <row r="26" spans="1:8" ht="15" customHeight="1" x14ac:dyDescent="0.2">
      <c r="A26" s="104"/>
    </row>
    <row r="27" spans="1:8" ht="19.5" customHeight="1" x14ac:dyDescent="0.2">
      <c r="A27" s="3" t="s">
        <v>414</v>
      </c>
      <c r="B27" s="7"/>
      <c r="C27" s="7"/>
      <c r="D27" s="7"/>
      <c r="E27" s="1"/>
      <c r="F27" s="1"/>
      <c r="G27" s="1"/>
    </row>
    <row r="28" spans="1:8" ht="15" customHeight="1" x14ac:dyDescent="0.2">
      <c r="A28" s="21"/>
      <c r="B28" s="98" t="s">
        <v>14</v>
      </c>
      <c r="C28" s="98" t="s">
        <v>15</v>
      </c>
      <c r="D28" s="370" t="s">
        <v>415</v>
      </c>
      <c r="E28" s="370"/>
      <c r="F28" s="370"/>
      <c r="G28" s="370"/>
    </row>
    <row r="29" spans="1:8" ht="16.5" customHeight="1" x14ac:dyDescent="0.2">
      <c r="A29" s="9" t="s">
        <v>146</v>
      </c>
      <c r="B29" s="105">
        <f>'3a. Outputs - Dedicated Vessel'!G5</f>
        <v>54047.97862812745</v>
      </c>
      <c r="C29" s="10" t="s">
        <v>142</v>
      </c>
      <c r="D29" s="372" t="s">
        <v>416</v>
      </c>
      <c r="E29" s="372"/>
      <c r="F29" s="372"/>
      <c r="G29" s="372"/>
    </row>
    <row r="30" spans="1:8" ht="15" customHeight="1" x14ac:dyDescent="0.2"/>
    <row r="31" spans="1:8" ht="19.5" customHeight="1" x14ac:dyDescent="0.2">
      <c r="A31" s="3" t="s">
        <v>61</v>
      </c>
      <c r="B31" s="7"/>
      <c r="C31" s="7"/>
      <c r="D31" s="7"/>
      <c r="E31" s="1"/>
      <c r="F31" s="1"/>
      <c r="G31" s="1"/>
    </row>
    <row r="32" spans="1:8" ht="15" customHeight="1" x14ac:dyDescent="0.2">
      <c r="A32" s="21"/>
      <c r="B32" s="98" t="s">
        <v>14</v>
      </c>
      <c r="C32" s="98" t="s">
        <v>15</v>
      </c>
      <c r="D32" s="370" t="s">
        <v>16</v>
      </c>
      <c r="E32" s="370"/>
      <c r="F32" s="370"/>
      <c r="G32" s="370"/>
    </row>
    <row r="33" spans="1:7" ht="12.75" customHeight="1" x14ac:dyDescent="0.2">
      <c r="A33" s="9" t="s">
        <v>417</v>
      </c>
      <c r="B33" s="106">
        <f>(B19*B25*(B11*100)*B24)*B20*B21</f>
        <v>15671.601422868935</v>
      </c>
      <c r="C33" s="10" t="s">
        <v>418</v>
      </c>
      <c r="D33" s="354" t="s">
        <v>419</v>
      </c>
      <c r="E33" s="354"/>
      <c r="F33" s="354"/>
      <c r="G33" s="354"/>
    </row>
    <row r="34" spans="1:7" ht="15.75" customHeight="1" x14ac:dyDescent="0.2">
      <c r="A34" s="107" t="s">
        <v>420</v>
      </c>
      <c r="B34" s="108">
        <f>B29/B33</f>
        <v>3.4487846627631442</v>
      </c>
      <c r="C34" s="40" t="s">
        <v>421</v>
      </c>
      <c r="D34" s="373" t="s">
        <v>422</v>
      </c>
      <c r="E34" s="373"/>
      <c r="F34" s="373"/>
      <c r="G34" s="373"/>
    </row>
  </sheetData>
  <mergeCells count="25">
    <mergeCell ref="D28:G28"/>
    <mergeCell ref="D29:G29"/>
    <mergeCell ref="D32:G32"/>
    <mergeCell ref="D33:G33"/>
    <mergeCell ref="D34:G34"/>
    <mergeCell ref="D20:G20"/>
    <mergeCell ref="D21:G21"/>
    <mergeCell ref="D22:G22"/>
    <mergeCell ref="D24:G24"/>
    <mergeCell ref="D25:G25"/>
    <mergeCell ref="D15:G15"/>
    <mergeCell ref="D16:G16"/>
    <mergeCell ref="D17:G17"/>
    <mergeCell ref="D18:G18"/>
    <mergeCell ref="D19:G19"/>
    <mergeCell ref="D9:G9"/>
    <mergeCell ref="D10:G10"/>
    <mergeCell ref="D11:G11"/>
    <mergeCell ref="D12:G12"/>
    <mergeCell ref="D13:G13"/>
    <mergeCell ref="A1:G1"/>
    <mergeCell ref="A2:G2"/>
    <mergeCell ref="D5:G5"/>
    <mergeCell ref="D6:G6"/>
    <mergeCell ref="D8:G8"/>
  </mergeCells>
  <dataValidations count="1">
    <dataValidation type="list" allowBlank="1" showInputMessage="1" showErrorMessage="1" sqref="B18" xr:uid="{293A916C-5AAF-3346-9302-FF1E5126660E}">
      <formula1>"1,1.1,1.2,1.3,1.4,1.5,1.6,1.7,1.8,1.9,2"</formula1>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55"/>
  <sheetViews>
    <sheetView zoomScaleNormal="100" zoomScalePageLayoutView="60" workbookViewId="0">
      <selection activeCell="E17" sqref="E17"/>
    </sheetView>
  </sheetViews>
  <sheetFormatPr baseColWidth="10" defaultColWidth="8.6640625" defaultRowHeight="15" x14ac:dyDescent="0.2"/>
  <cols>
    <col min="1" max="1" width="40" customWidth="1"/>
    <col min="2" max="2" width="15" customWidth="1"/>
    <col min="3" max="6" width="13" customWidth="1"/>
    <col min="7" max="7" width="14" customWidth="1"/>
    <col min="8" max="8" width="15" customWidth="1"/>
    <col min="9" max="9" width="46" customWidth="1"/>
    <col min="10" max="10" width="12" customWidth="1"/>
    <col min="11" max="11" width="14" customWidth="1"/>
    <col min="12" max="12" width="12" customWidth="1"/>
    <col min="13" max="13" width="13" customWidth="1"/>
  </cols>
  <sheetData>
    <row r="1" spans="1:14" ht="15" customHeight="1" x14ac:dyDescent="0.2">
      <c r="A1" s="110" t="s">
        <v>423</v>
      </c>
    </row>
    <row r="2" spans="1:14" ht="24" customHeight="1" x14ac:dyDescent="0.2">
      <c r="A2" s="374" t="s">
        <v>424</v>
      </c>
      <c r="B2" s="374"/>
      <c r="C2" s="374"/>
      <c r="D2" s="374"/>
      <c r="E2" s="374"/>
      <c r="F2" s="374"/>
      <c r="G2" s="374"/>
      <c r="H2" s="374"/>
    </row>
    <row r="3" spans="1:14" ht="19.5" customHeight="1" x14ac:dyDescent="0.2">
      <c r="A3" s="358" t="s">
        <v>425</v>
      </c>
      <c r="B3" s="358"/>
      <c r="C3" s="358"/>
      <c r="D3" s="358"/>
      <c r="E3" s="358"/>
      <c r="F3" s="358"/>
      <c r="G3" s="358"/>
      <c r="H3" s="358"/>
      <c r="I3" s="358"/>
    </row>
    <row r="4" spans="1:14" ht="29" customHeight="1" x14ac:dyDescent="0.2">
      <c r="A4" s="375" t="s">
        <v>426</v>
      </c>
      <c r="B4" s="375"/>
      <c r="C4" s="375"/>
      <c r="D4" s="375"/>
      <c r="E4" s="375"/>
      <c r="F4" s="375"/>
      <c r="G4" s="375"/>
      <c r="H4" s="375"/>
      <c r="I4" s="375"/>
    </row>
    <row r="5" spans="1:14" ht="28.5" customHeight="1" x14ac:dyDescent="0.2">
      <c r="A5" s="111" t="s">
        <v>427</v>
      </c>
      <c r="B5" s="112" t="s">
        <v>428</v>
      </c>
      <c r="C5" s="112" t="s">
        <v>189</v>
      </c>
      <c r="D5" s="112" t="s">
        <v>429</v>
      </c>
      <c r="E5" s="112" t="s">
        <v>430</v>
      </c>
      <c r="F5" s="112" t="s">
        <v>431</v>
      </c>
      <c r="G5" s="112" t="s">
        <v>432</v>
      </c>
      <c r="H5" s="112" t="s">
        <v>433</v>
      </c>
      <c r="I5" s="4" t="s">
        <v>17</v>
      </c>
      <c r="J5" s="84" t="s">
        <v>250</v>
      </c>
      <c r="K5" s="84" t="s">
        <v>251</v>
      </c>
      <c r="L5" s="84" t="s">
        <v>252</v>
      </c>
      <c r="M5" s="84" t="s">
        <v>253</v>
      </c>
      <c r="N5" t="s">
        <v>434</v>
      </c>
    </row>
    <row r="6" spans="1:14" ht="29" customHeight="1" x14ac:dyDescent="0.2">
      <c r="A6" s="113" t="s">
        <v>435</v>
      </c>
      <c r="B6" s="114">
        <v>0.3</v>
      </c>
      <c r="C6" s="115">
        <f>'5a. Cooling Model - Local'!$B$17</f>
        <v>0.4</v>
      </c>
      <c r="D6" s="114">
        <v>0.6</v>
      </c>
      <c r="E6" s="116">
        <f>'5a. Cooling Model - Local'!$B$34*(('5a. Cooling Model - Local'!$B$17*(1-'5a. Cooling Model - Local'!$B$17))/(B6*(1-B6)))</f>
        <v>3.9414681860150216</v>
      </c>
      <c r="F6" s="116">
        <f>'5a. Cooling Model - Local'!$B$34</f>
        <v>3.4487846627631442</v>
      </c>
      <c r="G6" s="116">
        <f>'5a. Cooling Model - Local'!$B$34*(('5a. Cooling Model - Local'!$B$17*(1-'5a. Cooling Model - Local'!$B$17))/(D6*(1-D6)))</f>
        <v>3.4487846627631442</v>
      </c>
      <c r="H6" s="117">
        <f t="shared" ref="H6:H17" si="0">MAX(E6,F6,G6)-MIN(E6,F6,G6)</f>
        <v>0.49268352325187736</v>
      </c>
      <c r="I6" s="13" t="s">
        <v>853</v>
      </c>
      <c r="J6" s="118">
        <f t="shared" ref="J6:J17" si="1">MIN(E6,F6,G6)</f>
        <v>3.4487846627631442</v>
      </c>
      <c r="K6" s="118">
        <f t="shared" ref="K6:K17" si="2">MAX(0,F6-MIN(E6,G6))</f>
        <v>0</v>
      </c>
      <c r="L6" s="118">
        <f t="shared" ref="L6:L17" si="3">MAX(0,MAX(E6,G6)-F6)</f>
        <v>0.49268352325187736</v>
      </c>
      <c r="M6" s="118">
        <f t="shared" ref="M6:M17" si="4">J6+K6+L6</f>
        <v>3.9414681860150216</v>
      </c>
      <c r="N6">
        <f t="shared" ref="N6:N17" si="5">20-MAX(E6:G6)</f>
        <v>16.058531813984978</v>
      </c>
    </row>
    <row r="7" spans="1:14" ht="15" customHeight="1" x14ac:dyDescent="0.2">
      <c r="A7" s="113" t="s">
        <v>436</v>
      </c>
      <c r="B7" s="24">
        <f>'3a. Outputs - Dedicated Vessel'!B58</f>
        <v>0.44999999999999996</v>
      </c>
      <c r="C7" s="115">
        <f>'2. Cost Inputs'!D24</f>
        <v>0.3</v>
      </c>
      <c r="D7" s="24">
        <f>'3a. Outputs - Dedicated Vessel'!D58</f>
        <v>0.18</v>
      </c>
      <c r="E7" s="116">
        <f>MAX('3a. Outputs - Dedicated Vessel'!AJ67,'3a. Outputs - Dedicated Vessel'!AJ68)/'5a. Cooling Model - Local'!$B$33</f>
        <v>3.6874452750340132</v>
      </c>
      <c r="F7" s="116">
        <f>'5a. Cooling Model - Local'!$B$34</f>
        <v>3.4487846627631442</v>
      </c>
      <c r="G7" s="116">
        <f>MIN('3a. Outputs - Dedicated Vessel'!AJ67,'3a. Outputs - Dedicated Vessel'!AJ68)/'5a. Cooling Model - Local'!$B$33</f>
        <v>3.164823808588439</v>
      </c>
      <c r="H7" s="117">
        <f t="shared" si="0"/>
        <v>0.52262146644557417</v>
      </c>
      <c r="J7" s="118">
        <f t="shared" si="1"/>
        <v>3.164823808588439</v>
      </c>
      <c r="K7" s="118">
        <f t="shared" si="2"/>
        <v>0.28396085417470518</v>
      </c>
      <c r="L7" s="118">
        <f t="shared" si="3"/>
        <v>0.23866061227086899</v>
      </c>
      <c r="M7" s="118">
        <f t="shared" si="4"/>
        <v>3.6874452750340132</v>
      </c>
      <c r="N7">
        <f t="shared" si="5"/>
        <v>16.312554724965988</v>
      </c>
    </row>
    <row r="8" spans="1:14" ht="15" customHeight="1" x14ac:dyDescent="0.2">
      <c r="A8" s="113" t="s">
        <v>437</v>
      </c>
      <c r="B8" s="24">
        <f>'3a. Outputs - Dedicated Vessel'!B55</f>
        <v>56250000</v>
      </c>
      <c r="C8" s="115">
        <f>'2. Cost Inputs'!D43</f>
        <v>7500000</v>
      </c>
      <c r="D8" s="24">
        <f>'3a. Outputs - Dedicated Vessel'!D55</f>
        <v>22500000</v>
      </c>
      <c r="E8" s="116">
        <f>MAX('3a. Outputs - Dedicated Vessel'!AJ61,'3a. Outputs - Dedicated Vessel'!AJ62)/'5a. Cooling Model - Local'!$B$33</f>
        <v>4.3716525740183361</v>
      </c>
      <c r="F8" s="116">
        <f>'5a. Cooling Model - Local'!$B$34</f>
        <v>3.4487846627631442</v>
      </c>
      <c r="G8" s="116">
        <f>MIN('3a. Outputs - Dedicated Vessel'!AJ61,'3a. Outputs - Dedicated Vessel'!AJ62)/'5a. Cooling Model - Local'!$B$33</f>
        <v>2.6174579694009807</v>
      </c>
      <c r="H8" s="117">
        <f t="shared" si="0"/>
        <v>1.7541946046173553</v>
      </c>
      <c r="J8" s="118">
        <f t="shared" si="1"/>
        <v>2.6174579694009807</v>
      </c>
      <c r="K8" s="118">
        <f t="shared" si="2"/>
        <v>0.83132669336216347</v>
      </c>
      <c r="L8" s="118">
        <f t="shared" si="3"/>
        <v>0.92286791125519185</v>
      </c>
      <c r="M8" s="118">
        <f t="shared" si="4"/>
        <v>4.3716525740183361</v>
      </c>
      <c r="N8">
        <f t="shared" si="5"/>
        <v>15.628347425981664</v>
      </c>
    </row>
    <row r="9" spans="1:14" ht="15" customHeight="1" x14ac:dyDescent="0.2">
      <c r="A9" s="113" t="s">
        <v>438</v>
      </c>
      <c r="B9" s="24">
        <f>'3a. Outputs - Dedicated Vessel'!B54</f>
        <v>1000</v>
      </c>
      <c r="C9" s="115">
        <f>'2. Cost Inputs'!D40</f>
        <v>100</v>
      </c>
      <c r="D9" s="24">
        <f>'3a. Outputs - Dedicated Vessel'!D54</f>
        <v>10</v>
      </c>
      <c r="E9" s="116">
        <f>MAX('3a. Outputs - Dedicated Vessel'!AJ59,'3a. Outputs - Dedicated Vessel'!AJ60)/'5a. Cooling Model - Local'!$B$33</f>
        <v>3.8255795900214182</v>
      </c>
      <c r="F9" s="116">
        <f>'5a. Cooling Model - Local'!$B$34</f>
        <v>3.4487846627631442</v>
      </c>
      <c r="G9" s="116">
        <f>MIN('3a. Outputs - Dedicated Vessel'!AJ59,'3a. Outputs - Dedicated Vessel'!AJ60)/'5a. Cooling Model - Local'!$B$33</f>
        <v>3.3542520584852</v>
      </c>
      <c r="H9" s="117">
        <f t="shared" si="0"/>
        <v>0.4713275315362182</v>
      </c>
      <c r="J9" s="118">
        <f t="shared" si="1"/>
        <v>3.3542520584852</v>
      </c>
      <c r="K9" s="118">
        <f t="shared" si="2"/>
        <v>9.4532604277944188E-2</v>
      </c>
      <c r="L9" s="118">
        <f t="shared" si="3"/>
        <v>0.37679492725827402</v>
      </c>
      <c r="M9" s="118">
        <f t="shared" si="4"/>
        <v>3.8255795900214182</v>
      </c>
      <c r="N9">
        <f t="shared" si="5"/>
        <v>16.17442040997858</v>
      </c>
    </row>
    <row r="10" spans="1:14" ht="15" customHeight="1" x14ac:dyDescent="0.2">
      <c r="A10" s="113" t="s">
        <v>439</v>
      </c>
      <c r="B10" s="24">
        <f>'3a. Outputs - Dedicated Vessel'!B53</f>
        <v>0.19726027397260273</v>
      </c>
      <c r="C10" s="115">
        <f>('3a. Outputs - Dedicated Vessel'!$B$18+'3a. Outputs - Dedicated Vessel'!$B$19)*'2. Cost Inputs'!$B$5</f>
        <v>0.32876712328767121</v>
      </c>
      <c r="D10" s="24">
        <f>'3a. Outputs - Dedicated Vessel'!D53</f>
        <v>0.42739726027397257</v>
      </c>
      <c r="E10" s="116">
        <f>MAX('3a. Outputs - Dedicated Vessel'!AJ57,'3a. Outputs - Dedicated Vessel'!AJ58)/'5a. Cooling Model - Local'!$B$33</f>
        <v>3.672545757748126</v>
      </c>
      <c r="F10" s="116">
        <f>'5a. Cooling Model - Local'!$B$34</f>
        <v>3.4487846627631442</v>
      </c>
      <c r="G10" s="116">
        <f>MIN('3a. Outputs - Dedicated Vessel'!AJ57,'3a. Outputs - Dedicated Vessel'!AJ58)/'5a. Cooling Model - Local'!$B$33</f>
        <v>3.3017319398081839</v>
      </c>
      <c r="H10" s="117">
        <f t="shared" si="0"/>
        <v>0.37081381793994206</v>
      </c>
      <c r="J10" s="118">
        <f t="shared" si="1"/>
        <v>3.3017319398081839</v>
      </c>
      <c r="K10" s="118">
        <f t="shared" si="2"/>
        <v>0.1470527229549603</v>
      </c>
      <c r="L10" s="118">
        <f t="shared" si="3"/>
        <v>0.22376109498498176</v>
      </c>
      <c r="M10" s="118">
        <f t="shared" si="4"/>
        <v>3.672545757748126</v>
      </c>
      <c r="N10">
        <f t="shared" si="5"/>
        <v>16.327454242251875</v>
      </c>
    </row>
    <row r="11" spans="1:14" ht="15" customHeight="1" x14ac:dyDescent="0.2">
      <c r="A11" s="113" t="s">
        <v>440</v>
      </c>
      <c r="B11" s="24">
        <f>'3a. Outputs - Dedicated Vessel'!B52</f>
        <v>210000</v>
      </c>
      <c r="C11" s="115">
        <f>'2. Cost Inputs'!D31</f>
        <v>150000</v>
      </c>
      <c r="D11" s="24">
        <f>'3a. Outputs - Dedicated Vessel'!D52</f>
        <v>105000</v>
      </c>
      <c r="E11" s="116">
        <f>MAX('3a. Outputs - Dedicated Vessel'!AJ55,'3a. Outputs - Dedicated Vessel'!AJ56)/'5a. Cooling Model - Local'!$B$33</f>
        <v>3.4551454393671923</v>
      </c>
      <c r="F11" s="116">
        <f>'5a. Cooling Model - Local'!$B$34</f>
        <v>3.4487846627631442</v>
      </c>
      <c r="G11" s="116">
        <f>MIN('3a. Outputs - Dedicated Vessel'!AJ55,'3a. Outputs - Dedicated Vessel'!AJ56)/'5a. Cooling Model - Local'!$B$33</f>
        <v>3.3535659482953766</v>
      </c>
      <c r="H11" s="117">
        <f t="shared" si="0"/>
        <v>0.10157949107181574</v>
      </c>
      <c r="J11" s="118">
        <f t="shared" si="1"/>
        <v>3.3535659482953766</v>
      </c>
      <c r="K11" s="118">
        <f t="shared" si="2"/>
        <v>9.521871446776764E-2</v>
      </c>
      <c r="L11" s="118">
        <f t="shared" si="3"/>
        <v>6.3607766040481017E-3</v>
      </c>
      <c r="M11" s="118">
        <f t="shared" si="4"/>
        <v>3.4551454393671923</v>
      </c>
      <c r="N11">
        <f t="shared" si="5"/>
        <v>16.544854560632807</v>
      </c>
    </row>
    <row r="12" spans="1:14" ht="29" customHeight="1" x14ac:dyDescent="0.2">
      <c r="A12" s="113" t="s">
        <v>441</v>
      </c>
      <c r="B12" s="18">
        <v>400</v>
      </c>
      <c r="C12" s="119">
        <f>'5a. Cooling Model - Local'!$B$16</f>
        <v>475</v>
      </c>
      <c r="D12" s="18">
        <v>550</v>
      </c>
      <c r="E12" s="116">
        <f>'5a. Cooling Model - Local'!$B$34*('5a. Cooling Model - Local'!$B$16/B12)</f>
        <v>4.0954317870312336</v>
      </c>
      <c r="F12" s="116">
        <f>'5a. Cooling Model - Local'!$B$34</f>
        <v>3.4487846627631442</v>
      </c>
      <c r="G12" s="116">
        <f>'5a. Cooling Model - Local'!$B$34*('5a. Cooling Model - Local'!$B$16/D12)</f>
        <v>2.9784958451136245</v>
      </c>
      <c r="H12" s="117">
        <f t="shared" si="0"/>
        <v>1.116935941917609</v>
      </c>
      <c r="I12" s="13" t="s">
        <v>854</v>
      </c>
      <c r="J12" s="118">
        <f t="shared" si="1"/>
        <v>2.9784958451136245</v>
      </c>
      <c r="K12" s="118">
        <f t="shared" si="2"/>
        <v>0.47028881764951969</v>
      </c>
      <c r="L12" s="118">
        <f t="shared" si="3"/>
        <v>0.64664712426808935</v>
      </c>
      <c r="M12" s="118">
        <f t="shared" si="4"/>
        <v>4.0954317870312336</v>
      </c>
      <c r="N12">
        <f t="shared" si="5"/>
        <v>15.904568212968766</v>
      </c>
    </row>
    <row r="13" spans="1:14" ht="15" customHeight="1" x14ac:dyDescent="0.2">
      <c r="A13" s="113" t="s">
        <v>442</v>
      </c>
      <c r="B13" s="119">
        <v>2</v>
      </c>
      <c r="C13" s="119">
        <f>'5a. Cooling Model - Local'!$B$18</f>
        <v>1.3</v>
      </c>
      <c r="D13" s="119">
        <v>4</v>
      </c>
      <c r="E13" s="116">
        <f>'5a. Cooling Model - Local'!$B$34*(LN('5a. Cooling Model - Local'!$B$18)/LN(B13))</f>
        <v>1.305405080955045</v>
      </c>
      <c r="F13" s="116">
        <f>'5a. Cooling Model - Local'!$B$34</f>
        <v>3.4487846627631442</v>
      </c>
      <c r="G13" s="116">
        <f>'5a. Cooling Model - Local'!$B$34*(LN('5a. Cooling Model - Local'!$B$18)/LN(D13))</f>
        <v>0.65270254047752252</v>
      </c>
      <c r="H13" s="117">
        <f t="shared" si="0"/>
        <v>2.7960821222856218</v>
      </c>
      <c r="J13" s="118">
        <f t="shared" si="1"/>
        <v>0.65270254047752252</v>
      </c>
      <c r="K13" s="118">
        <f t="shared" si="2"/>
        <v>2.7960821222856218</v>
      </c>
      <c r="L13" s="118">
        <f t="shared" si="3"/>
        <v>0</v>
      </c>
      <c r="M13" s="118">
        <f t="shared" si="4"/>
        <v>3.4487846627631442</v>
      </c>
      <c r="N13">
        <f t="shared" si="5"/>
        <v>16.551215337236854</v>
      </c>
    </row>
    <row r="14" spans="1:14" ht="15" customHeight="1" x14ac:dyDescent="0.2">
      <c r="A14" s="113" t="s">
        <v>443</v>
      </c>
      <c r="B14" s="119">
        <v>2</v>
      </c>
      <c r="C14" s="119">
        <f>'5a. Cooling Model - Local'!$B$24</f>
        <v>3</v>
      </c>
      <c r="D14" s="119">
        <v>4</v>
      </c>
      <c r="E14" s="116">
        <f>'5a. Cooling Model - Local'!$B$34*('5a. Cooling Model - Local'!$B$24/B14)</f>
        <v>5.1731769941447165</v>
      </c>
      <c r="F14" s="116">
        <f>'5a. Cooling Model - Local'!$B$34</f>
        <v>3.4487846627631442</v>
      </c>
      <c r="G14" s="116">
        <f>'5a. Cooling Model - Local'!$B$34*('5a. Cooling Model - Local'!$B$24/D14)</f>
        <v>2.5865884970723583</v>
      </c>
      <c r="H14" s="117">
        <f t="shared" si="0"/>
        <v>2.5865884970723583</v>
      </c>
      <c r="J14" s="118">
        <f t="shared" si="1"/>
        <v>2.5865884970723583</v>
      </c>
      <c r="K14" s="118">
        <f t="shared" si="2"/>
        <v>0.86219616569078594</v>
      </c>
      <c r="L14" s="118">
        <f t="shared" si="3"/>
        <v>1.7243923313815723</v>
      </c>
      <c r="M14" s="118">
        <f t="shared" si="4"/>
        <v>5.1731769941447165</v>
      </c>
      <c r="N14">
        <f t="shared" si="5"/>
        <v>14.826823005855283</v>
      </c>
    </row>
    <row r="15" spans="1:14" ht="15" customHeight="1" x14ac:dyDescent="0.2">
      <c r="A15" s="113" t="s">
        <v>444</v>
      </c>
      <c r="B15" s="119">
        <v>1.4999999999999999E-2</v>
      </c>
      <c r="C15" s="119">
        <f>'5a. Cooling Model - Local'!$B$25</f>
        <v>2.2499999999999999E-2</v>
      </c>
      <c r="D15" s="119">
        <v>3.2000000000000001E-2</v>
      </c>
      <c r="E15" s="116">
        <f>'5a. Cooling Model - Local'!$B$34*('5a. Cooling Model - Local'!$B$25/B15)</f>
        <v>5.1731769941447165</v>
      </c>
      <c r="F15" s="116">
        <f>'5a. Cooling Model - Local'!$B$34</f>
        <v>3.4487846627631442</v>
      </c>
      <c r="G15" s="116">
        <f>'5a. Cooling Model - Local'!$B$34*('5a. Cooling Model - Local'!$B$25/D15)</f>
        <v>2.4249267160053356</v>
      </c>
      <c r="H15" s="117">
        <f t="shared" si="0"/>
        <v>2.7482502781393809</v>
      </c>
      <c r="J15" s="118">
        <f t="shared" si="1"/>
        <v>2.4249267160053356</v>
      </c>
      <c r="K15" s="118">
        <f t="shared" si="2"/>
        <v>1.0238579467578086</v>
      </c>
      <c r="L15" s="118">
        <f t="shared" si="3"/>
        <v>1.7243923313815723</v>
      </c>
      <c r="M15" s="118">
        <f t="shared" si="4"/>
        <v>5.1731769941447165</v>
      </c>
      <c r="N15">
        <f t="shared" si="5"/>
        <v>14.826823005855283</v>
      </c>
    </row>
    <row r="16" spans="1:14" ht="15" customHeight="1" x14ac:dyDescent="0.2">
      <c r="A16" s="113" t="s">
        <v>445</v>
      </c>
      <c r="B16" s="119">
        <f>0.5*C16</f>
        <v>4.0000000000000008E-2</v>
      </c>
      <c r="C16" s="119">
        <f>'5a. Cooling Model - Local'!$B$22</f>
        <v>8.0000000000000016E-2</v>
      </c>
      <c r="D16" s="119">
        <f>2*C16</f>
        <v>0.16000000000000003</v>
      </c>
      <c r="E16" s="116">
        <f>'5a. Cooling Model - Local'!$B$34*('5a. Cooling Model - Local'!$B$22/B16)</f>
        <v>6.8975693255262884</v>
      </c>
      <c r="F16" s="116">
        <f>'5a. Cooling Model - Local'!$B$34</f>
        <v>3.4487846627631442</v>
      </c>
      <c r="G16" s="116">
        <f>'5a. Cooling Model - Local'!$B$34*('5a. Cooling Model - Local'!$B$22/D16)</f>
        <v>1.7243923313815721</v>
      </c>
      <c r="H16" s="117">
        <f t="shared" si="0"/>
        <v>5.1731769941447165</v>
      </c>
      <c r="J16" s="118">
        <f t="shared" si="1"/>
        <v>1.7243923313815721</v>
      </c>
      <c r="K16" s="118">
        <f t="shared" si="2"/>
        <v>1.7243923313815721</v>
      </c>
      <c r="L16" s="118">
        <f t="shared" si="3"/>
        <v>3.4487846627631442</v>
      </c>
      <c r="M16" s="118">
        <f t="shared" si="4"/>
        <v>6.8975693255262884</v>
      </c>
      <c r="N16">
        <f t="shared" si="5"/>
        <v>13.102430674473712</v>
      </c>
    </row>
    <row r="17" spans="1:14" ht="15" customHeight="1" x14ac:dyDescent="0.2">
      <c r="A17" s="113" t="s">
        <v>446</v>
      </c>
      <c r="B17" s="119">
        <v>0.1</v>
      </c>
      <c r="C17" s="119">
        <f>'5a. Cooling Model - Local'!$B$5</f>
        <v>0.3</v>
      </c>
      <c r="D17" s="119">
        <v>0.5</v>
      </c>
      <c r="E17" s="116">
        <f>'5a. Cooling Model - Local'!$B$34*('5a. Cooling Model - Local'!$B$5/B17)</f>
        <v>10.346353988289431</v>
      </c>
      <c r="F17" s="116">
        <f>'5a. Cooling Model - Local'!$B$34</f>
        <v>3.4487846627631442</v>
      </c>
      <c r="G17" s="116">
        <f>'5a. Cooling Model - Local'!$B$34*('5a. Cooling Model - Local'!$B$5/D17)</f>
        <v>2.0692707976578864</v>
      </c>
      <c r="H17" s="117">
        <f t="shared" si="0"/>
        <v>8.2770831906315454</v>
      </c>
      <c r="J17" s="118">
        <f t="shared" si="1"/>
        <v>2.0692707976578864</v>
      </c>
      <c r="K17" s="118">
        <f t="shared" si="2"/>
        <v>1.3795138651052579</v>
      </c>
      <c r="L17" s="118">
        <f t="shared" si="3"/>
        <v>6.8975693255262875</v>
      </c>
      <c r="M17" s="118">
        <f t="shared" si="4"/>
        <v>10.346353988289431</v>
      </c>
      <c r="N17">
        <f t="shared" si="5"/>
        <v>9.6536460117105687</v>
      </c>
    </row>
    <row r="18" spans="1:14" x14ac:dyDescent="0.2">
      <c r="A18" s="330" t="s">
        <v>818</v>
      </c>
      <c r="B18" s="220">
        <f>C18*0.5</f>
        <v>4.9849210248823299</v>
      </c>
      <c r="C18" s="220">
        <f>'5a. Cooling Model - Local'!B19</f>
        <v>9.9698420497646598</v>
      </c>
      <c r="D18" s="220">
        <f>C18*2</f>
        <v>19.93968409952932</v>
      </c>
    </row>
    <row r="44" ht="15" customHeight="1" x14ac:dyDescent="0.2"/>
    <row r="45" ht="15" customHeight="1" x14ac:dyDescent="0.2"/>
    <row r="63" spans="1:11" ht="15" customHeight="1" x14ac:dyDescent="0.2">
      <c r="A63" s="120"/>
      <c r="B63" s="120"/>
      <c r="C63" s="89"/>
      <c r="D63" s="89"/>
      <c r="E63" s="89"/>
      <c r="F63" s="87"/>
      <c r="G63" s="121"/>
      <c r="H63" s="89"/>
      <c r="I63" s="122"/>
      <c r="J63" s="87"/>
      <c r="K63" s="121"/>
    </row>
    <row r="64" spans="1:11" ht="15" customHeight="1" x14ac:dyDescent="0.2">
      <c r="A64" s="120"/>
      <c r="B64" s="120"/>
      <c r="C64" s="89"/>
      <c r="D64" s="89"/>
      <c r="E64" s="89"/>
      <c r="F64" s="87"/>
      <c r="G64" s="121"/>
      <c r="H64" s="89"/>
      <c r="I64" s="122"/>
      <c r="J64" s="87"/>
      <c r="K64" s="121"/>
    </row>
    <row r="65" spans="1:11" ht="15" customHeight="1" x14ac:dyDescent="0.2">
      <c r="A65" s="120"/>
      <c r="B65" s="120"/>
      <c r="C65" s="89"/>
      <c r="D65" s="89"/>
      <c r="E65" s="89"/>
      <c r="F65" s="87"/>
      <c r="G65" s="121"/>
      <c r="H65" s="89"/>
      <c r="I65" s="122"/>
      <c r="J65" s="87"/>
      <c r="K65" s="121"/>
    </row>
    <row r="66" spans="1:11" ht="15" customHeight="1" x14ac:dyDescent="0.2">
      <c r="A66" s="120"/>
      <c r="B66" s="120"/>
      <c r="C66" s="89"/>
      <c r="D66" s="89"/>
      <c r="E66" s="89"/>
      <c r="F66" s="87"/>
      <c r="G66" s="121"/>
      <c r="H66" s="89"/>
      <c r="I66" s="122"/>
      <c r="J66" s="87"/>
      <c r="K66" s="121"/>
    </row>
    <row r="67" spans="1:11" ht="15" customHeight="1" x14ac:dyDescent="0.2">
      <c r="A67" s="120"/>
      <c r="B67" s="120"/>
      <c r="C67" s="89"/>
      <c r="D67" s="89"/>
      <c r="E67" s="89"/>
      <c r="F67" s="87"/>
      <c r="G67" s="121"/>
      <c r="H67" s="89"/>
      <c r="I67" s="122"/>
      <c r="J67" s="87"/>
      <c r="K67" s="121"/>
    </row>
    <row r="68" spans="1:11" ht="15" customHeight="1" x14ac:dyDescent="0.2">
      <c r="A68" s="120"/>
      <c r="B68" s="120"/>
      <c r="C68" s="89"/>
      <c r="D68" s="89"/>
      <c r="E68" s="89"/>
      <c r="F68" s="87"/>
      <c r="G68" s="121"/>
      <c r="H68" s="89"/>
      <c r="I68" s="122"/>
      <c r="J68" s="87"/>
      <c r="K68" s="121"/>
    </row>
    <row r="69" spans="1:11" ht="15" customHeight="1" x14ac:dyDescent="0.2">
      <c r="A69" s="120"/>
      <c r="B69" s="120"/>
      <c r="C69" s="89"/>
      <c r="D69" s="89"/>
      <c r="E69" s="89"/>
      <c r="F69" s="87"/>
      <c r="G69" s="121"/>
      <c r="H69" s="89"/>
      <c r="I69" s="122"/>
      <c r="J69" s="87"/>
      <c r="K69" s="121"/>
    </row>
    <row r="70" spans="1:11" ht="15" customHeight="1" x14ac:dyDescent="0.2">
      <c r="A70" s="120"/>
      <c r="B70" s="120"/>
      <c r="C70" s="89"/>
      <c r="D70" s="89"/>
      <c r="E70" s="89"/>
      <c r="F70" s="87"/>
      <c r="G70" s="121"/>
      <c r="H70" s="89"/>
      <c r="I70" s="122"/>
      <c r="J70" s="87"/>
      <c r="K70" s="121"/>
    </row>
    <row r="71" spans="1:11" ht="15" customHeight="1" x14ac:dyDescent="0.2">
      <c r="A71" s="120"/>
      <c r="B71" s="120"/>
      <c r="C71" s="89"/>
      <c r="D71" s="89"/>
      <c r="E71" s="89"/>
      <c r="F71" s="87"/>
      <c r="G71" s="121"/>
      <c r="H71" s="89"/>
      <c r="I71" s="122"/>
      <c r="J71" s="87"/>
      <c r="K71" s="121"/>
    </row>
    <row r="72" spans="1:11" ht="15" customHeight="1" x14ac:dyDescent="0.2">
      <c r="A72" s="120"/>
      <c r="B72" s="120"/>
      <c r="C72" s="89"/>
      <c r="D72" s="89"/>
      <c r="E72" s="89"/>
      <c r="F72" s="87"/>
      <c r="G72" s="121"/>
      <c r="H72" s="89"/>
      <c r="I72" s="122"/>
      <c r="J72" s="87"/>
      <c r="K72" s="121"/>
    </row>
    <row r="73" spans="1:11" ht="15" customHeight="1" x14ac:dyDescent="0.2">
      <c r="A73" s="120"/>
      <c r="B73" s="120"/>
      <c r="C73" s="89"/>
      <c r="D73" s="89"/>
      <c r="E73" s="89"/>
      <c r="F73" s="87"/>
      <c r="G73" s="121"/>
      <c r="H73" s="89"/>
      <c r="I73" s="122"/>
      <c r="J73" s="87"/>
      <c r="K73" s="121"/>
    </row>
    <row r="74" spans="1:11" ht="15" customHeight="1" x14ac:dyDescent="0.2">
      <c r="A74" s="120"/>
      <c r="B74" s="120"/>
      <c r="C74" s="89"/>
      <c r="D74" s="89"/>
      <c r="E74" s="89"/>
      <c r="F74" s="87"/>
      <c r="G74" s="121"/>
      <c r="H74" s="89"/>
      <c r="I74" s="122"/>
      <c r="J74" s="87"/>
      <c r="K74" s="121"/>
    </row>
    <row r="75" spans="1:11" ht="15" customHeight="1" x14ac:dyDescent="0.2">
      <c r="A75" s="120"/>
      <c r="B75" s="120"/>
      <c r="C75" s="89"/>
      <c r="D75" s="89"/>
      <c r="E75" s="89"/>
      <c r="F75" s="87"/>
      <c r="G75" s="121"/>
      <c r="H75" s="89"/>
      <c r="I75" s="122"/>
      <c r="J75" s="87"/>
      <c r="K75" s="121"/>
    </row>
    <row r="76" spans="1:11" ht="15" customHeight="1" x14ac:dyDescent="0.2">
      <c r="A76" s="120"/>
      <c r="B76" s="120"/>
      <c r="C76" s="89"/>
      <c r="D76" s="89"/>
      <c r="E76" s="89"/>
      <c r="F76" s="87"/>
      <c r="G76" s="121"/>
      <c r="H76" s="89"/>
      <c r="I76" s="122"/>
      <c r="J76" s="87"/>
      <c r="K76" s="121"/>
    </row>
    <row r="77" spans="1:11" ht="15" customHeight="1" x14ac:dyDescent="0.2">
      <c r="A77" s="120"/>
      <c r="B77" s="120"/>
      <c r="C77" s="89"/>
      <c r="D77" s="89"/>
      <c r="E77" s="89"/>
      <c r="F77" s="87"/>
      <c r="G77" s="121"/>
      <c r="H77" s="89"/>
      <c r="I77" s="122"/>
      <c r="J77" s="87"/>
      <c r="K77" s="121"/>
    </row>
    <row r="78" spans="1:11" ht="15" customHeight="1" x14ac:dyDescent="0.2">
      <c r="A78" s="120"/>
      <c r="B78" s="120"/>
      <c r="C78" s="89"/>
      <c r="D78" s="89"/>
      <c r="E78" s="89"/>
      <c r="F78" s="87"/>
      <c r="G78" s="121"/>
      <c r="H78" s="89"/>
      <c r="I78" s="122"/>
      <c r="J78" s="87"/>
      <c r="K78" s="121"/>
    </row>
    <row r="79" spans="1:11" ht="15" customHeight="1" x14ac:dyDescent="0.2">
      <c r="A79" s="120"/>
      <c r="B79" s="120"/>
      <c r="C79" s="89"/>
      <c r="D79" s="89"/>
      <c r="E79" s="89"/>
      <c r="F79" s="87"/>
      <c r="G79" s="121"/>
      <c r="H79" s="89"/>
      <c r="I79" s="122"/>
      <c r="J79" s="87"/>
      <c r="K79" s="121"/>
    </row>
    <row r="80" spans="1:11" ht="15" customHeight="1" x14ac:dyDescent="0.2">
      <c r="A80" s="120"/>
      <c r="B80" s="120"/>
      <c r="C80" s="89"/>
      <c r="D80" s="89"/>
      <c r="E80" s="89"/>
      <c r="F80" s="87"/>
      <c r="G80" s="121"/>
      <c r="H80" s="89"/>
      <c r="I80" s="122"/>
      <c r="J80" s="87"/>
      <c r="K80" s="121"/>
    </row>
    <row r="81" spans="1:11" ht="15" customHeight="1" x14ac:dyDescent="0.2">
      <c r="A81" s="120"/>
      <c r="B81" s="120"/>
      <c r="C81" s="89"/>
      <c r="D81" s="89"/>
      <c r="E81" s="89"/>
      <c r="F81" s="87"/>
      <c r="G81" s="121"/>
      <c r="H81" s="89"/>
      <c r="I81" s="122"/>
      <c r="J81" s="87"/>
      <c r="K81" s="121"/>
    </row>
    <row r="82" spans="1:11" ht="15" customHeight="1" x14ac:dyDescent="0.2">
      <c r="A82" s="120"/>
      <c r="B82" s="120"/>
      <c r="C82" s="89"/>
      <c r="D82" s="89"/>
      <c r="E82" s="89"/>
      <c r="F82" s="87"/>
      <c r="G82" s="121"/>
      <c r="H82" s="89"/>
      <c r="I82" s="122"/>
      <c r="J82" s="87"/>
      <c r="K82" s="121"/>
    </row>
    <row r="83" spans="1:11" ht="15" customHeight="1" x14ac:dyDescent="0.2">
      <c r="A83" s="120"/>
      <c r="B83" s="120"/>
      <c r="C83" s="89"/>
      <c r="D83" s="89"/>
      <c r="E83" s="89"/>
      <c r="F83" s="87"/>
      <c r="G83" s="121"/>
      <c r="H83" s="89"/>
      <c r="I83" s="122"/>
      <c r="J83" s="87"/>
      <c r="K83" s="121"/>
    </row>
    <row r="84" spans="1:11" ht="15" customHeight="1" x14ac:dyDescent="0.2">
      <c r="A84" s="120"/>
      <c r="B84" s="120"/>
      <c r="C84" s="89"/>
      <c r="D84" s="89"/>
      <c r="E84" s="89"/>
      <c r="F84" s="87"/>
      <c r="G84" s="121"/>
      <c r="H84" s="89"/>
      <c r="I84" s="122"/>
      <c r="J84" s="87"/>
      <c r="K84" s="121"/>
    </row>
    <row r="85" spans="1:11" ht="15" customHeight="1" x14ac:dyDescent="0.2">
      <c r="A85" s="120"/>
      <c r="B85" s="120"/>
      <c r="C85" s="89"/>
      <c r="D85" s="89"/>
      <c r="E85" s="89"/>
      <c r="F85" s="87"/>
      <c r="G85" s="121"/>
      <c r="H85" s="89"/>
      <c r="I85" s="122"/>
      <c r="J85" s="87"/>
      <c r="K85" s="121"/>
    </row>
    <row r="86" spans="1:11" ht="15" customHeight="1" x14ac:dyDescent="0.2">
      <c r="A86" s="120"/>
      <c r="B86" s="120"/>
      <c r="C86" s="89"/>
      <c r="D86" s="89"/>
      <c r="E86" s="89"/>
      <c r="F86" s="87"/>
      <c r="G86" s="121"/>
      <c r="H86" s="89"/>
      <c r="I86" s="122"/>
      <c r="J86" s="87"/>
      <c r="K86" s="121"/>
    </row>
    <row r="87" spans="1:11" ht="15" customHeight="1" x14ac:dyDescent="0.2">
      <c r="A87" s="120"/>
      <c r="B87" s="120"/>
      <c r="C87" s="89"/>
      <c r="D87" s="89"/>
      <c r="E87" s="89"/>
      <c r="F87" s="87"/>
      <c r="G87" s="121"/>
      <c r="H87" s="89"/>
      <c r="I87" s="122"/>
      <c r="J87" s="87"/>
      <c r="K87" s="121"/>
    </row>
    <row r="88" spans="1:11" ht="15" customHeight="1" x14ac:dyDescent="0.2">
      <c r="A88" s="120"/>
      <c r="B88" s="120"/>
      <c r="C88" s="89"/>
      <c r="D88" s="89"/>
      <c r="E88" s="89"/>
      <c r="F88" s="87"/>
      <c r="G88" s="121"/>
      <c r="H88" s="89"/>
      <c r="I88" s="122"/>
      <c r="J88" s="87"/>
      <c r="K88" s="121"/>
    </row>
    <row r="89" spans="1:11" ht="15" customHeight="1" x14ac:dyDescent="0.2">
      <c r="A89" s="120"/>
      <c r="B89" s="120"/>
      <c r="C89" s="89"/>
      <c r="D89" s="89"/>
      <c r="E89" s="89"/>
      <c r="F89" s="87"/>
      <c r="G89" s="121"/>
      <c r="H89" s="89"/>
      <c r="I89" s="122"/>
      <c r="J89" s="87"/>
      <c r="K89" s="121"/>
    </row>
    <row r="90" spans="1:11" ht="15" customHeight="1" x14ac:dyDescent="0.2">
      <c r="A90" s="120"/>
      <c r="B90" s="120"/>
      <c r="C90" s="89"/>
      <c r="D90" s="89"/>
      <c r="E90" s="89"/>
      <c r="F90" s="87"/>
      <c r="G90" s="121"/>
      <c r="H90" s="89"/>
      <c r="I90" s="122"/>
      <c r="J90" s="87"/>
      <c r="K90" s="121"/>
    </row>
    <row r="91" spans="1:11" ht="15" customHeight="1" x14ac:dyDescent="0.2">
      <c r="A91" s="120"/>
      <c r="B91" s="120"/>
      <c r="C91" s="89"/>
      <c r="D91" s="89"/>
      <c r="E91" s="89"/>
      <c r="F91" s="87"/>
      <c r="G91" s="121"/>
      <c r="H91" s="89"/>
      <c r="I91" s="122"/>
      <c r="J91" s="87"/>
      <c r="K91" s="121"/>
    </row>
    <row r="92" spans="1:11" ht="15" customHeight="1" x14ac:dyDescent="0.2">
      <c r="A92" s="120"/>
      <c r="B92" s="120"/>
      <c r="C92" s="89"/>
      <c r="D92" s="89"/>
      <c r="E92" s="89"/>
      <c r="F92" s="87"/>
      <c r="G92" s="121"/>
      <c r="H92" s="89"/>
      <c r="I92" s="122"/>
      <c r="J92" s="87"/>
      <c r="K92" s="121"/>
    </row>
    <row r="93" spans="1:11" ht="15" customHeight="1" x14ac:dyDescent="0.2">
      <c r="A93" s="120"/>
      <c r="B93" s="120"/>
      <c r="C93" s="89"/>
      <c r="D93" s="89"/>
      <c r="E93" s="89"/>
      <c r="F93" s="87"/>
      <c r="G93" s="121"/>
      <c r="H93" s="89"/>
      <c r="I93" s="122"/>
      <c r="J93" s="87"/>
      <c r="K93" s="121"/>
    </row>
    <row r="94" spans="1:11" ht="15" customHeight="1" x14ac:dyDescent="0.2">
      <c r="A94" s="120"/>
      <c r="B94" s="120"/>
      <c r="C94" s="89"/>
      <c r="D94" s="89"/>
      <c r="E94" s="89"/>
      <c r="F94" s="87"/>
      <c r="G94" s="121"/>
      <c r="H94" s="89"/>
      <c r="I94" s="122"/>
      <c r="J94" s="87"/>
      <c r="K94" s="121"/>
    </row>
    <row r="95" spans="1:11" ht="15" customHeight="1" x14ac:dyDescent="0.2">
      <c r="A95" s="120"/>
      <c r="B95" s="120"/>
      <c r="C95" s="89"/>
      <c r="D95" s="89"/>
      <c r="E95" s="89"/>
      <c r="F95" s="87"/>
      <c r="G95" s="121"/>
      <c r="H95" s="89"/>
      <c r="I95" s="122"/>
      <c r="J95" s="87"/>
      <c r="K95" s="121"/>
    </row>
    <row r="96" spans="1:11" ht="15" customHeight="1" x14ac:dyDescent="0.2">
      <c r="A96" s="120"/>
      <c r="B96" s="120"/>
      <c r="C96" s="89"/>
      <c r="D96" s="89"/>
      <c r="E96" s="89"/>
      <c r="F96" s="87"/>
      <c r="G96" s="121"/>
      <c r="H96" s="89"/>
      <c r="I96" s="122"/>
      <c r="J96" s="87"/>
      <c r="K96" s="121"/>
    </row>
    <row r="97" spans="1:11" ht="15" customHeight="1" x14ac:dyDescent="0.2">
      <c r="A97" s="120"/>
      <c r="B97" s="120"/>
      <c r="C97" s="89"/>
      <c r="D97" s="89"/>
      <c r="E97" s="89"/>
      <c r="F97" s="87"/>
      <c r="G97" s="121"/>
      <c r="H97" s="89"/>
      <c r="I97" s="122"/>
      <c r="J97" s="87"/>
      <c r="K97" s="121"/>
    </row>
    <row r="98" spans="1:11" ht="15" customHeight="1" x14ac:dyDescent="0.2">
      <c r="A98" s="120"/>
      <c r="B98" s="120"/>
      <c r="C98" s="89"/>
      <c r="D98" s="89"/>
      <c r="E98" s="89"/>
      <c r="F98" s="87"/>
      <c r="G98" s="121"/>
      <c r="H98" s="89"/>
      <c r="I98" s="122"/>
      <c r="J98" s="87"/>
      <c r="K98" s="121"/>
    </row>
    <row r="99" spans="1:11" ht="15" customHeight="1" x14ac:dyDescent="0.2">
      <c r="A99" s="120"/>
      <c r="B99" s="120"/>
      <c r="C99" s="89"/>
      <c r="D99" s="89"/>
      <c r="E99" s="89"/>
      <c r="F99" s="87"/>
      <c r="G99" s="121"/>
      <c r="H99" s="89"/>
      <c r="I99" s="122"/>
      <c r="J99" s="87"/>
      <c r="K99" s="121"/>
    </row>
    <row r="100" spans="1:11" ht="15" customHeight="1" x14ac:dyDescent="0.2">
      <c r="A100" s="120"/>
      <c r="B100" s="120"/>
      <c r="C100" s="89"/>
      <c r="D100" s="89"/>
      <c r="E100" s="89"/>
      <c r="F100" s="87"/>
      <c r="G100" s="121"/>
      <c r="H100" s="89"/>
      <c r="I100" s="122"/>
      <c r="J100" s="87"/>
      <c r="K100" s="121"/>
    </row>
    <row r="101" spans="1:11" ht="15" customHeight="1" x14ac:dyDescent="0.2">
      <c r="A101" s="120"/>
      <c r="B101" s="120"/>
      <c r="C101" s="89"/>
      <c r="D101" s="89"/>
      <c r="E101" s="89"/>
      <c r="F101" s="87"/>
      <c r="G101" s="121"/>
      <c r="H101" s="89"/>
      <c r="I101" s="122"/>
      <c r="J101" s="87"/>
      <c r="K101" s="121"/>
    </row>
    <row r="102" spans="1:11" ht="15" customHeight="1" x14ac:dyDescent="0.2">
      <c r="A102" s="120"/>
      <c r="B102" s="120"/>
      <c r="C102" s="89"/>
      <c r="D102" s="89"/>
      <c r="E102" s="89"/>
      <c r="F102" s="87"/>
      <c r="G102" s="121"/>
      <c r="H102" s="89"/>
      <c r="I102" s="122"/>
      <c r="J102" s="87"/>
      <c r="K102" s="121"/>
    </row>
    <row r="103" spans="1:11" ht="15" customHeight="1" x14ac:dyDescent="0.2">
      <c r="A103" s="120"/>
      <c r="B103" s="120"/>
      <c r="C103" s="89"/>
      <c r="D103" s="89"/>
      <c r="E103" s="89"/>
      <c r="F103" s="87"/>
      <c r="G103" s="121"/>
      <c r="H103" s="89"/>
      <c r="I103" s="122"/>
      <c r="J103" s="87"/>
      <c r="K103" s="121"/>
    </row>
    <row r="104" spans="1:11" ht="15" customHeight="1" x14ac:dyDescent="0.2">
      <c r="A104" s="120"/>
      <c r="B104" s="120"/>
      <c r="C104" s="89"/>
      <c r="D104" s="89"/>
      <c r="E104" s="89"/>
      <c r="F104" s="87"/>
      <c r="G104" s="121"/>
      <c r="H104" s="89"/>
      <c r="I104" s="122"/>
      <c r="J104" s="87"/>
      <c r="K104" s="121"/>
    </row>
    <row r="105" spans="1:11" ht="15" customHeight="1" x14ac:dyDescent="0.2">
      <c r="A105" s="120"/>
      <c r="B105" s="120"/>
      <c r="C105" s="89"/>
      <c r="D105" s="89"/>
      <c r="E105" s="89"/>
      <c r="F105" s="87"/>
      <c r="G105" s="121"/>
      <c r="H105" s="89"/>
      <c r="I105" s="122"/>
      <c r="J105" s="87"/>
      <c r="K105" s="121"/>
    </row>
    <row r="106" spans="1:11" ht="15" customHeight="1" x14ac:dyDescent="0.2">
      <c r="A106" s="120"/>
      <c r="B106" s="120"/>
      <c r="C106" s="89"/>
      <c r="D106" s="89"/>
      <c r="E106" s="89"/>
      <c r="F106" s="87"/>
      <c r="G106" s="121"/>
      <c r="H106" s="89"/>
      <c r="I106" s="122"/>
      <c r="J106" s="87"/>
      <c r="K106" s="121"/>
    </row>
    <row r="107" spans="1:11" ht="15" customHeight="1" x14ac:dyDescent="0.2">
      <c r="A107" s="120"/>
      <c r="B107" s="120"/>
      <c r="C107" s="89"/>
      <c r="D107" s="89"/>
      <c r="E107" s="89"/>
      <c r="F107" s="87"/>
      <c r="G107" s="121"/>
      <c r="H107" s="89"/>
      <c r="I107" s="122"/>
      <c r="J107" s="87"/>
      <c r="K107" s="121"/>
    </row>
    <row r="108" spans="1:11" ht="15" customHeight="1" x14ac:dyDescent="0.2">
      <c r="A108" s="120"/>
      <c r="B108" s="120"/>
      <c r="C108" s="89"/>
      <c r="D108" s="89"/>
      <c r="E108" s="89"/>
      <c r="F108" s="87"/>
      <c r="G108" s="121"/>
      <c r="H108" s="89"/>
      <c r="I108" s="122"/>
      <c r="J108" s="87"/>
      <c r="K108" s="121"/>
    </row>
    <row r="109" spans="1:11" ht="15" customHeight="1" x14ac:dyDescent="0.2">
      <c r="A109" s="120"/>
      <c r="B109" s="120"/>
      <c r="C109" s="89"/>
      <c r="D109" s="89"/>
      <c r="E109" s="89"/>
      <c r="F109" s="87"/>
      <c r="G109" s="121"/>
      <c r="H109" s="89"/>
      <c r="I109" s="122"/>
      <c r="J109" s="87"/>
      <c r="K109" s="121"/>
    </row>
    <row r="110" spans="1:11" ht="15" customHeight="1" x14ac:dyDescent="0.2">
      <c r="A110" s="120"/>
      <c r="B110" s="120"/>
      <c r="C110" s="89"/>
      <c r="D110" s="89"/>
      <c r="E110" s="89"/>
      <c r="F110" s="87"/>
      <c r="G110" s="121"/>
      <c r="H110" s="89"/>
      <c r="I110" s="122"/>
      <c r="J110" s="87"/>
      <c r="K110" s="121"/>
    </row>
    <row r="111" spans="1:11" ht="15" customHeight="1" x14ac:dyDescent="0.2">
      <c r="A111" s="120"/>
      <c r="B111" s="120"/>
      <c r="C111" s="89"/>
      <c r="D111" s="89"/>
      <c r="E111" s="89"/>
      <c r="F111" s="87"/>
      <c r="G111" s="121"/>
      <c r="H111" s="89"/>
      <c r="I111" s="122"/>
      <c r="J111" s="87"/>
      <c r="K111" s="121"/>
    </row>
    <row r="112" spans="1:11" ht="15" customHeight="1" x14ac:dyDescent="0.2">
      <c r="A112" s="120"/>
      <c r="B112" s="120"/>
      <c r="C112" s="89"/>
      <c r="D112" s="89"/>
      <c r="E112" s="89"/>
      <c r="F112" s="87"/>
      <c r="G112" s="121"/>
      <c r="H112" s="89"/>
      <c r="I112" s="122"/>
      <c r="J112" s="87"/>
      <c r="K112" s="121"/>
    </row>
    <row r="113" spans="1:11" ht="15" customHeight="1" x14ac:dyDescent="0.2">
      <c r="A113" s="120"/>
      <c r="B113" s="120"/>
      <c r="C113" s="89"/>
      <c r="D113" s="89"/>
      <c r="E113" s="89"/>
      <c r="F113" s="87"/>
      <c r="G113" s="121"/>
      <c r="H113" s="89"/>
      <c r="I113" s="122"/>
      <c r="J113" s="87"/>
      <c r="K113" s="121"/>
    </row>
    <row r="114" spans="1:11" ht="15" customHeight="1" x14ac:dyDescent="0.2">
      <c r="A114" s="120"/>
      <c r="B114" s="120"/>
      <c r="C114" s="89"/>
      <c r="D114" s="89"/>
      <c r="E114" s="89"/>
      <c r="F114" s="87"/>
      <c r="G114" s="121"/>
      <c r="H114" s="89"/>
      <c r="I114" s="122"/>
      <c r="J114" s="87"/>
      <c r="K114" s="121"/>
    </row>
    <row r="115" spans="1:11" ht="15" customHeight="1" x14ac:dyDescent="0.2">
      <c r="A115" s="120"/>
      <c r="B115" s="120"/>
      <c r="C115" s="89"/>
      <c r="D115" s="89"/>
      <c r="E115" s="89"/>
      <c r="F115" s="87"/>
      <c r="G115" s="121"/>
      <c r="H115" s="89"/>
      <c r="I115" s="122"/>
      <c r="J115" s="87"/>
      <c r="K115" s="121"/>
    </row>
    <row r="116" spans="1:11" ht="15" customHeight="1" x14ac:dyDescent="0.2">
      <c r="A116" s="120"/>
      <c r="B116" s="120"/>
      <c r="C116" s="89"/>
      <c r="D116" s="89"/>
      <c r="E116" s="89"/>
      <c r="F116" s="87"/>
      <c r="G116" s="121"/>
      <c r="H116" s="89"/>
      <c r="I116" s="122"/>
      <c r="J116" s="87"/>
      <c r="K116" s="121"/>
    </row>
    <row r="117" spans="1:11" ht="15" customHeight="1" x14ac:dyDescent="0.2">
      <c r="A117" s="120"/>
      <c r="B117" s="120"/>
      <c r="C117" s="89"/>
      <c r="D117" s="89"/>
      <c r="E117" s="89"/>
      <c r="F117" s="87"/>
      <c r="G117" s="121"/>
      <c r="H117" s="89"/>
      <c r="I117" s="122"/>
      <c r="J117" s="87"/>
      <c r="K117" s="121"/>
    </row>
    <row r="118" spans="1:11" ht="15" customHeight="1" x14ac:dyDescent="0.2">
      <c r="A118" s="120"/>
      <c r="B118" s="120"/>
      <c r="C118" s="89"/>
      <c r="D118" s="89"/>
      <c r="E118" s="89"/>
      <c r="F118" s="87"/>
      <c r="G118" s="121"/>
      <c r="H118" s="89"/>
      <c r="I118" s="122"/>
      <c r="J118" s="87"/>
      <c r="K118" s="121"/>
    </row>
    <row r="119" spans="1:11" ht="15" customHeight="1" x14ac:dyDescent="0.2">
      <c r="A119" s="120"/>
      <c r="B119" s="120"/>
      <c r="C119" s="89"/>
      <c r="D119" s="89"/>
      <c r="E119" s="89"/>
      <c r="F119" s="87"/>
      <c r="G119" s="121"/>
      <c r="H119" s="89"/>
      <c r="I119" s="122"/>
      <c r="J119" s="87"/>
      <c r="K119" s="121"/>
    </row>
    <row r="120" spans="1:11" ht="15" customHeight="1" x14ac:dyDescent="0.2">
      <c r="A120" s="120"/>
      <c r="B120" s="120"/>
      <c r="C120" s="89"/>
      <c r="D120" s="89"/>
      <c r="E120" s="89"/>
      <c r="F120" s="87"/>
      <c r="G120" s="121"/>
      <c r="H120" s="89"/>
      <c r="I120" s="122"/>
      <c r="J120" s="87"/>
      <c r="K120" s="121"/>
    </row>
    <row r="121" spans="1:11" ht="15" customHeight="1" x14ac:dyDescent="0.2">
      <c r="A121" s="120"/>
      <c r="B121" s="120"/>
      <c r="C121" s="89"/>
      <c r="D121" s="89"/>
      <c r="E121" s="89"/>
      <c r="F121" s="87"/>
      <c r="G121" s="121"/>
      <c r="H121" s="89"/>
      <c r="I121" s="122"/>
      <c r="J121" s="87"/>
      <c r="K121" s="121"/>
    </row>
    <row r="122" spans="1:11" ht="15" customHeight="1" x14ac:dyDescent="0.2">
      <c r="A122" s="120"/>
      <c r="B122" s="120"/>
      <c r="C122" s="89"/>
      <c r="D122" s="89"/>
      <c r="E122" s="89"/>
      <c r="F122" s="87"/>
      <c r="G122" s="121"/>
      <c r="H122" s="89"/>
      <c r="I122" s="122"/>
      <c r="J122" s="87"/>
      <c r="K122" s="121"/>
    </row>
    <row r="123" spans="1:11" ht="15" customHeight="1" x14ac:dyDescent="0.2">
      <c r="A123" s="120"/>
      <c r="B123" s="120"/>
      <c r="C123" s="89"/>
      <c r="D123" s="89"/>
      <c r="E123" s="89"/>
      <c r="F123" s="87"/>
      <c r="G123" s="121"/>
      <c r="H123" s="89"/>
      <c r="I123" s="122"/>
      <c r="J123" s="87"/>
      <c r="K123" s="121"/>
    </row>
    <row r="124" spans="1:11" ht="15" customHeight="1" x14ac:dyDescent="0.2">
      <c r="A124" s="120"/>
      <c r="B124" s="120"/>
      <c r="C124" s="89"/>
      <c r="D124" s="89"/>
      <c r="E124" s="89"/>
      <c r="F124" s="87"/>
      <c r="G124" s="121"/>
      <c r="H124" s="89"/>
      <c r="I124" s="122"/>
      <c r="J124" s="87"/>
      <c r="K124" s="121"/>
    </row>
    <row r="125" spans="1:11" ht="15" customHeight="1" x14ac:dyDescent="0.2">
      <c r="A125" s="120"/>
      <c r="B125" s="120"/>
      <c r="C125" s="89"/>
      <c r="D125" s="89"/>
      <c r="E125" s="89"/>
      <c r="F125" s="87"/>
      <c r="G125" s="121"/>
      <c r="H125" s="89"/>
      <c r="I125" s="122"/>
      <c r="J125" s="87"/>
      <c r="K125" s="121"/>
    </row>
    <row r="126" spans="1:11" ht="15" customHeight="1" x14ac:dyDescent="0.2">
      <c r="A126" s="120"/>
      <c r="B126" s="120"/>
      <c r="C126" s="89"/>
      <c r="D126" s="89"/>
      <c r="E126" s="89"/>
      <c r="F126" s="87"/>
      <c r="G126" s="121"/>
      <c r="H126" s="89"/>
      <c r="I126" s="122"/>
      <c r="J126" s="87"/>
      <c r="K126" s="121"/>
    </row>
    <row r="127" spans="1:11" ht="15" customHeight="1" x14ac:dyDescent="0.2">
      <c r="A127" s="120"/>
      <c r="B127" s="120"/>
      <c r="C127" s="89"/>
      <c r="D127" s="89"/>
      <c r="E127" s="89"/>
      <c r="F127" s="87"/>
      <c r="G127" s="121"/>
      <c r="H127" s="89"/>
      <c r="I127" s="122"/>
      <c r="J127" s="87"/>
      <c r="K127" s="121"/>
    </row>
    <row r="128" spans="1:11" ht="15" customHeight="1" x14ac:dyDescent="0.2">
      <c r="A128" s="120"/>
      <c r="B128" s="120"/>
      <c r="C128" s="89"/>
      <c r="D128" s="89"/>
      <c r="E128" s="89"/>
      <c r="F128" s="87"/>
      <c r="G128" s="121"/>
      <c r="H128" s="89"/>
      <c r="I128" s="122"/>
      <c r="J128" s="87"/>
      <c r="K128" s="121"/>
    </row>
    <row r="129" spans="1:11" ht="15" customHeight="1" x14ac:dyDescent="0.2">
      <c r="A129" s="120"/>
      <c r="B129" s="120"/>
      <c r="C129" s="89"/>
      <c r="D129" s="89"/>
      <c r="E129" s="89"/>
      <c r="F129" s="87"/>
      <c r="G129" s="121"/>
      <c r="H129" s="89"/>
      <c r="I129" s="122"/>
      <c r="J129" s="87"/>
      <c r="K129" s="121"/>
    </row>
    <row r="130" spans="1:11" ht="15" customHeight="1" x14ac:dyDescent="0.2">
      <c r="A130" s="120"/>
      <c r="B130" s="120"/>
      <c r="C130" s="89"/>
      <c r="D130" s="89"/>
      <c r="E130" s="89"/>
      <c r="F130" s="87"/>
      <c r="G130" s="121"/>
      <c r="H130" s="89"/>
      <c r="I130" s="122"/>
      <c r="J130" s="87"/>
      <c r="K130" s="121"/>
    </row>
    <row r="131" spans="1:11" ht="15" customHeight="1" x14ac:dyDescent="0.2">
      <c r="A131" s="120"/>
      <c r="B131" s="120"/>
      <c r="C131" s="89"/>
      <c r="D131" s="89"/>
      <c r="E131" s="89"/>
      <c r="F131" s="87"/>
      <c r="G131" s="121"/>
      <c r="H131" s="89"/>
      <c r="I131" s="122"/>
      <c r="J131" s="87"/>
      <c r="K131" s="121"/>
    </row>
    <row r="132" spans="1:11" ht="15" customHeight="1" x14ac:dyDescent="0.2">
      <c r="A132" s="120"/>
      <c r="B132" s="120"/>
      <c r="C132" s="89"/>
      <c r="D132" s="89"/>
      <c r="E132" s="89"/>
      <c r="F132" s="87"/>
      <c r="G132" s="121"/>
      <c r="H132" s="89"/>
      <c r="I132" s="122"/>
      <c r="J132" s="87"/>
      <c r="K132" s="121"/>
    </row>
    <row r="133" spans="1:11" ht="15" customHeight="1" x14ac:dyDescent="0.2">
      <c r="A133" s="120"/>
      <c r="B133" s="120"/>
      <c r="C133" s="89"/>
      <c r="D133" s="89"/>
      <c r="E133" s="89"/>
      <c r="F133" s="87"/>
      <c r="G133" s="121"/>
      <c r="H133" s="89"/>
      <c r="I133" s="122"/>
      <c r="J133" s="87"/>
      <c r="K133" s="121"/>
    </row>
    <row r="134" spans="1:11" ht="15" customHeight="1" x14ac:dyDescent="0.2">
      <c r="A134" s="120"/>
      <c r="B134" s="120"/>
      <c r="C134" s="89"/>
      <c r="D134" s="89"/>
      <c r="E134" s="89"/>
      <c r="F134" s="87"/>
      <c r="G134" s="121"/>
      <c r="H134" s="89"/>
      <c r="I134" s="122"/>
      <c r="J134" s="87"/>
      <c r="K134" s="121"/>
    </row>
    <row r="135" spans="1:11" ht="15" customHeight="1" x14ac:dyDescent="0.2">
      <c r="A135" s="120"/>
      <c r="B135" s="120"/>
      <c r="C135" s="89"/>
      <c r="D135" s="89"/>
      <c r="E135" s="89"/>
      <c r="F135" s="87"/>
      <c r="G135" s="121"/>
      <c r="H135" s="89"/>
      <c r="I135" s="122"/>
      <c r="J135" s="87"/>
      <c r="K135" s="121"/>
    </row>
    <row r="136" spans="1:11" ht="15" customHeight="1" x14ac:dyDescent="0.2">
      <c r="A136" s="120"/>
      <c r="B136" s="120"/>
      <c r="C136" s="89"/>
      <c r="D136" s="89"/>
      <c r="E136" s="89"/>
      <c r="F136" s="87"/>
      <c r="G136" s="121"/>
      <c r="H136" s="89"/>
      <c r="I136" s="122"/>
      <c r="J136" s="87"/>
      <c r="K136" s="121"/>
    </row>
    <row r="137" spans="1:11" ht="15" customHeight="1" x14ac:dyDescent="0.2">
      <c r="A137" s="120"/>
      <c r="B137" s="120"/>
      <c r="C137" s="89"/>
      <c r="D137" s="89"/>
      <c r="E137" s="89"/>
      <c r="F137" s="87"/>
      <c r="G137" s="121"/>
      <c r="H137" s="89"/>
      <c r="I137" s="122"/>
      <c r="J137" s="87"/>
      <c r="K137" s="121"/>
    </row>
    <row r="138" spans="1:11" ht="15" customHeight="1" x14ac:dyDescent="0.2">
      <c r="A138" s="120"/>
      <c r="B138" s="120"/>
      <c r="C138" s="89"/>
      <c r="D138" s="89"/>
      <c r="E138" s="89"/>
      <c r="F138" s="87"/>
      <c r="G138" s="121"/>
      <c r="H138" s="89"/>
      <c r="I138" s="122"/>
      <c r="J138" s="87"/>
      <c r="K138" s="121"/>
    </row>
    <row r="139" spans="1:11" ht="15" customHeight="1" x14ac:dyDescent="0.2">
      <c r="A139" s="120"/>
      <c r="B139" s="120"/>
      <c r="C139" s="89"/>
      <c r="D139" s="89"/>
      <c r="E139" s="89"/>
      <c r="F139" s="87"/>
      <c r="G139" s="121"/>
      <c r="H139" s="89"/>
      <c r="I139" s="122"/>
      <c r="J139" s="87"/>
      <c r="K139" s="121"/>
    </row>
    <row r="140" spans="1:11" ht="15" customHeight="1" x14ac:dyDescent="0.2">
      <c r="A140" s="120"/>
      <c r="B140" s="120"/>
      <c r="C140" s="89"/>
      <c r="D140" s="89"/>
      <c r="E140" s="89"/>
      <c r="F140" s="87"/>
      <c r="G140" s="121"/>
      <c r="H140" s="89"/>
      <c r="I140" s="122"/>
      <c r="J140" s="87"/>
      <c r="K140" s="121"/>
    </row>
    <row r="141" spans="1:11" ht="15" customHeight="1" x14ac:dyDescent="0.2">
      <c r="A141" s="120"/>
      <c r="B141" s="120"/>
      <c r="C141" s="89"/>
      <c r="D141" s="89"/>
      <c r="E141" s="89"/>
      <c r="F141" s="87"/>
      <c r="G141" s="121"/>
      <c r="H141" s="89"/>
      <c r="I141" s="122"/>
      <c r="J141" s="87"/>
      <c r="K141" s="121"/>
    </row>
    <row r="142" spans="1:11" ht="15" customHeight="1" x14ac:dyDescent="0.2">
      <c r="A142" s="120"/>
      <c r="B142" s="120"/>
      <c r="C142" s="89"/>
      <c r="D142" s="89"/>
      <c r="E142" s="89"/>
      <c r="F142" s="87"/>
      <c r="G142" s="121"/>
      <c r="H142" s="89"/>
      <c r="I142" s="122"/>
      <c r="J142" s="87"/>
      <c r="K142" s="121"/>
    </row>
    <row r="143" spans="1:11" ht="15" customHeight="1" x14ac:dyDescent="0.2">
      <c r="A143" s="120"/>
      <c r="B143" s="120"/>
      <c r="C143" s="89"/>
      <c r="D143" s="89"/>
      <c r="E143" s="89"/>
      <c r="F143" s="87"/>
      <c r="G143" s="121"/>
      <c r="H143" s="89"/>
      <c r="I143" s="122"/>
      <c r="J143" s="87"/>
      <c r="K143" s="121"/>
    </row>
    <row r="144" spans="1:11" ht="15" customHeight="1" x14ac:dyDescent="0.2">
      <c r="A144" s="120"/>
      <c r="B144" s="120"/>
      <c r="C144" s="89"/>
      <c r="D144" s="89"/>
      <c r="E144" s="89"/>
      <c r="F144" s="87"/>
      <c r="G144" s="121"/>
      <c r="H144" s="89"/>
      <c r="I144" s="122"/>
      <c r="J144" s="87"/>
      <c r="K144" s="121"/>
    </row>
    <row r="145" spans="1:11" ht="15" customHeight="1" x14ac:dyDescent="0.2">
      <c r="A145" s="120"/>
      <c r="B145" s="120"/>
      <c r="C145" s="89"/>
      <c r="D145" s="89"/>
      <c r="E145" s="89"/>
      <c r="F145" s="87"/>
      <c r="G145" s="121"/>
      <c r="H145" s="89"/>
      <c r="I145" s="122"/>
      <c r="J145" s="87"/>
      <c r="K145" s="121"/>
    </row>
    <row r="146" spans="1:11" ht="15" customHeight="1" x14ac:dyDescent="0.2">
      <c r="A146" s="120"/>
      <c r="B146" s="120"/>
      <c r="C146" s="89"/>
      <c r="D146" s="89"/>
      <c r="E146" s="89"/>
      <c r="F146" s="87"/>
      <c r="G146" s="121"/>
      <c r="H146" s="89"/>
      <c r="I146" s="122"/>
      <c r="J146" s="87"/>
      <c r="K146" s="121"/>
    </row>
    <row r="147" spans="1:11" ht="15" customHeight="1" x14ac:dyDescent="0.2">
      <c r="A147" s="120"/>
      <c r="B147" s="120"/>
      <c r="C147" s="89"/>
      <c r="D147" s="89"/>
      <c r="E147" s="89"/>
      <c r="F147" s="87"/>
      <c r="G147" s="121"/>
      <c r="H147" s="89"/>
      <c r="I147" s="122"/>
      <c r="J147" s="87"/>
      <c r="K147" s="121"/>
    </row>
    <row r="148" spans="1:11" ht="15" customHeight="1" x14ac:dyDescent="0.2">
      <c r="A148" s="120"/>
      <c r="B148" s="120"/>
      <c r="C148" s="89"/>
      <c r="D148" s="89"/>
      <c r="E148" s="89"/>
      <c r="F148" s="87"/>
      <c r="G148" s="121"/>
      <c r="H148" s="89"/>
      <c r="I148" s="122"/>
      <c r="J148" s="87"/>
      <c r="K148" s="121"/>
    </row>
    <row r="149" spans="1:11" ht="15" customHeight="1" x14ac:dyDescent="0.2">
      <c r="A149" s="120"/>
      <c r="B149" s="120"/>
      <c r="C149" s="89"/>
      <c r="D149" s="89"/>
      <c r="E149" s="89"/>
      <c r="F149" s="87"/>
      <c r="G149" s="121"/>
      <c r="H149" s="89"/>
      <c r="I149" s="122"/>
      <c r="J149" s="87"/>
      <c r="K149" s="121"/>
    </row>
    <row r="150" spans="1:11" ht="15" customHeight="1" x14ac:dyDescent="0.2">
      <c r="A150" s="120"/>
      <c r="B150" s="120"/>
      <c r="C150" s="89"/>
      <c r="D150" s="89"/>
      <c r="E150" s="89"/>
      <c r="F150" s="87"/>
      <c r="G150" s="121"/>
      <c r="H150" s="89"/>
      <c r="I150" s="122"/>
      <c r="J150" s="87"/>
      <c r="K150" s="121"/>
    </row>
    <row r="151" spans="1:11" ht="15" customHeight="1" x14ac:dyDescent="0.2">
      <c r="A151" s="120"/>
      <c r="B151" s="120"/>
      <c r="C151" s="89"/>
      <c r="D151" s="89"/>
      <c r="E151" s="89"/>
      <c r="F151" s="87"/>
      <c r="G151" s="121"/>
      <c r="H151" s="89"/>
      <c r="I151" s="122"/>
      <c r="J151" s="87"/>
      <c r="K151" s="121"/>
    </row>
    <row r="152" spans="1:11" ht="15" customHeight="1" x14ac:dyDescent="0.2">
      <c r="A152" s="120"/>
      <c r="B152" s="120"/>
      <c r="C152" s="89"/>
      <c r="D152" s="89"/>
      <c r="E152" s="89"/>
      <c r="F152" s="87"/>
      <c r="G152" s="121"/>
      <c r="H152" s="89"/>
      <c r="I152" s="122"/>
      <c r="J152" s="87"/>
      <c r="K152" s="121"/>
    </row>
    <row r="153" spans="1:11" ht="15" customHeight="1" x14ac:dyDescent="0.2">
      <c r="A153" s="120"/>
      <c r="B153" s="120"/>
      <c r="C153" s="89"/>
      <c r="D153" s="89"/>
      <c r="E153" s="89"/>
      <c r="F153" s="87"/>
      <c r="G153" s="121"/>
      <c r="H153" s="89"/>
      <c r="I153" s="122"/>
      <c r="J153" s="87"/>
      <c r="K153" s="121"/>
    </row>
    <row r="154" spans="1:11" ht="15" customHeight="1" x14ac:dyDescent="0.2">
      <c r="A154" s="120"/>
      <c r="B154" s="120"/>
      <c r="C154" s="89"/>
      <c r="D154" s="89"/>
      <c r="E154" s="89"/>
      <c r="F154" s="87"/>
      <c r="G154" s="121"/>
      <c r="H154" s="89"/>
      <c r="I154" s="122"/>
      <c r="J154" s="87"/>
      <c r="K154" s="121"/>
    </row>
    <row r="155" spans="1:11" ht="15" customHeight="1" x14ac:dyDescent="0.2">
      <c r="A155" s="120"/>
      <c r="B155" s="120"/>
      <c r="C155" s="89"/>
      <c r="D155" s="89"/>
      <c r="E155" s="89"/>
      <c r="F155" s="87"/>
      <c r="G155" s="121"/>
      <c r="H155" s="89"/>
      <c r="I155" s="122"/>
      <c r="J155" s="87"/>
      <c r="K155" s="121"/>
    </row>
  </sheetData>
  <mergeCells count="3">
    <mergeCell ref="A2:H2"/>
    <mergeCell ref="A3:I3"/>
    <mergeCell ref="A4:I4"/>
  </mergeCells>
  <pageMargins left="0.75" right="0.75" top="1" bottom="1"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9"/>
  <sheetViews>
    <sheetView zoomScaleNormal="100" zoomScalePageLayoutView="60" workbookViewId="0">
      <selection activeCell="A16" sqref="A16"/>
    </sheetView>
  </sheetViews>
  <sheetFormatPr baseColWidth="10" defaultColWidth="8.6640625" defaultRowHeight="15" x14ac:dyDescent="0.2"/>
  <cols>
    <col min="1" max="1" width="40" customWidth="1"/>
    <col min="2" max="2" width="15" customWidth="1"/>
    <col min="3" max="3" width="13" customWidth="1"/>
    <col min="4" max="4" width="58" customWidth="1"/>
    <col min="5" max="5" width="15" customWidth="1"/>
    <col min="6" max="6" width="34.1640625" customWidth="1"/>
    <col min="7" max="7" width="55" customWidth="1"/>
  </cols>
  <sheetData>
    <row r="1" spans="1:7" ht="23.25" customHeight="1" x14ac:dyDescent="0.2">
      <c r="A1" s="376" t="s">
        <v>447</v>
      </c>
      <c r="B1" s="376"/>
      <c r="C1" s="376"/>
      <c r="D1" s="376"/>
      <c r="E1" s="376"/>
      <c r="F1" s="376"/>
    </row>
    <row r="2" spans="1:7" ht="29" customHeight="1" x14ac:dyDescent="0.2">
      <c r="A2" s="377" t="s">
        <v>448</v>
      </c>
      <c r="B2" s="377"/>
      <c r="C2" s="377"/>
      <c r="D2" s="377"/>
      <c r="E2" s="377"/>
      <c r="F2" s="377"/>
    </row>
    <row r="3" spans="1:7" ht="39" customHeight="1" x14ac:dyDescent="0.2">
      <c r="A3" s="123" t="s">
        <v>449</v>
      </c>
      <c r="B3" s="102">
        <v>0.5</v>
      </c>
      <c r="C3" s="97" t="s">
        <v>64</v>
      </c>
      <c r="D3" s="378" t="s">
        <v>450</v>
      </c>
      <c r="E3" s="378"/>
      <c r="F3" s="378"/>
      <c r="G3" s="124" t="s">
        <v>451</v>
      </c>
    </row>
    <row r="4" spans="1:7" ht="19.5" customHeight="1" x14ac:dyDescent="0.2">
      <c r="A4" s="379" t="s">
        <v>452</v>
      </c>
      <c r="B4" s="379"/>
      <c r="C4" s="379"/>
      <c r="D4" s="379"/>
      <c r="E4" s="379"/>
      <c r="F4" s="379"/>
    </row>
    <row r="5" spans="1:7" ht="18" customHeight="1" x14ac:dyDescent="0.2">
      <c r="A5" s="126" t="s">
        <v>453</v>
      </c>
      <c r="B5" s="126" t="s">
        <v>14</v>
      </c>
      <c r="C5" s="126" t="s">
        <v>15</v>
      </c>
      <c r="D5" s="126" t="s">
        <v>454</v>
      </c>
      <c r="E5" s="126"/>
      <c r="F5" s="126"/>
      <c r="G5" s="126" t="s">
        <v>17</v>
      </c>
    </row>
    <row r="6" spans="1:7" ht="39" customHeight="1" x14ac:dyDescent="0.2">
      <c r="A6" s="127" t="s">
        <v>455</v>
      </c>
      <c r="B6" s="128">
        <v>30000</v>
      </c>
      <c r="C6" s="127" t="s">
        <v>456</v>
      </c>
      <c r="D6" s="380" t="s">
        <v>457</v>
      </c>
      <c r="E6" s="380"/>
      <c r="F6" s="380"/>
      <c r="G6" s="129" t="s">
        <v>802</v>
      </c>
    </row>
    <row r="7" spans="1:7" ht="41.5" customHeight="1" x14ac:dyDescent="0.2">
      <c r="A7" s="127" t="s">
        <v>458</v>
      </c>
      <c r="B7" s="128">
        <v>151</v>
      </c>
      <c r="C7" s="127" t="s">
        <v>175</v>
      </c>
      <c r="D7" s="380" t="s">
        <v>459</v>
      </c>
      <c r="E7" s="380"/>
      <c r="F7" s="380"/>
      <c r="G7" s="129" t="s">
        <v>801</v>
      </c>
    </row>
    <row r="8" spans="1:7" ht="39" customHeight="1" x14ac:dyDescent="0.2">
      <c r="A8" s="127" t="s">
        <v>460</v>
      </c>
      <c r="B8" s="130">
        <f>'5a. Cooling Model - Local'!B19/'5a. Cooling Model - Local'!B16</f>
        <v>2.0989141157399284E-2</v>
      </c>
      <c r="C8" s="127" t="s">
        <v>64</v>
      </c>
      <c r="D8" s="380" t="s">
        <v>461</v>
      </c>
      <c r="E8" s="380"/>
      <c r="F8" s="380"/>
    </row>
    <row r="9" spans="1:7" ht="39" customHeight="1" x14ac:dyDescent="0.2">
      <c r="A9" s="127" t="s">
        <v>462</v>
      </c>
      <c r="B9" s="131">
        <f>'5a. Cooling Model - Local'!B19*'5a. Cooling Model - Local'!B22</f>
        <v>0.79758736398117291</v>
      </c>
      <c r="C9" s="127" t="s">
        <v>390</v>
      </c>
      <c r="D9" s="380" t="s">
        <v>463</v>
      </c>
      <c r="E9" s="380"/>
      <c r="F9" s="380"/>
    </row>
    <row r="10" spans="1:7" ht="12.75" customHeight="1" x14ac:dyDescent="0.2">
      <c r="A10" s="127" t="s">
        <v>464</v>
      </c>
      <c r="B10" s="130">
        <f>B26*(B9/B35)</f>
        <v>2.0664763521330388E-2</v>
      </c>
      <c r="C10" s="127" t="s">
        <v>64</v>
      </c>
      <c r="D10" s="380" t="s">
        <v>855</v>
      </c>
      <c r="E10" s="380"/>
      <c r="F10" s="380"/>
    </row>
    <row r="11" spans="1:7" ht="15" customHeight="1" x14ac:dyDescent="0.2">
      <c r="A11" s="127" t="s">
        <v>465</v>
      </c>
      <c r="B11" s="132">
        <f>'5a. Cooling Model - Local'!B11</f>
        <v>2910.9271713195303</v>
      </c>
      <c r="C11" s="127" t="s">
        <v>385</v>
      </c>
      <c r="D11" s="380" t="s">
        <v>466</v>
      </c>
      <c r="E11" s="380"/>
      <c r="F11" s="380"/>
    </row>
    <row r="12" spans="1:7" ht="12.75" customHeight="1" x14ac:dyDescent="0.2">
      <c r="A12" s="127" t="s">
        <v>467</v>
      </c>
      <c r="B12" s="133">
        <f>(B6/'5a. Cooling Model - Local'!B11)*(B7/'5a. Cooling Model - Local'!B24)/$B$3</f>
        <v>1037.4701331435326</v>
      </c>
      <c r="C12" s="127" t="s">
        <v>468</v>
      </c>
      <c r="D12" s="380" t="s">
        <v>469</v>
      </c>
      <c r="E12" s="380"/>
      <c r="F12" s="380"/>
    </row>
    <row r="13" spans="1:7" ht="29" customHeight="1" x14ac:dyDescent="0.2">
      <c r="A13" s="127" t="s">
        <v>470</v>
      </c>
      <c r="B13" s="133">
        <f>'3a. Outputs - Dedicated Vessel'!$B$22*(B7/365)</f>
        <v>163.72131416182873</v>
      </c>
      <c r="C13" s="127" t="s">
        <v>468</v>
      </c>
      <c r="D13" s="380" t="s">
        <v>471</v>
      </c>
      <c r="E13" s="380"/>
      <c r="F13" s="380"/>
    </row>
    <row r="14" spans="1:7" ht="27.75" customHeight="1" x14ac:dyDescent="0.2">
      <c r="A14" s="127" t="s">
        <v>472</v>
      </c>
      <c r="B14" s="133">
        <f>B12/B13</f>
        <v>6.3368055555555545</v>
      </c>
      <c r="C14" s="127" t="s">
        <v>123</v>
      </c>
      <c r="D14" s="380" t="s">
        <v>473</v>
      </c>
      <c r="E14" s="380"/>
      <c r="F14" s="380"/>
    </row>
    <row r="15" spans="1:7" ht="19.5" customHeight="1" x14ac:dyDescent="0.2">
      <c r="A15" s="127" t="s">
        <v>931</v>
      </c>
      <c r="B15" s="310">
        <f>'2. Cost Inputs'!B56/7</f>
        <v>21428.571428571428</v>
      </c>
      <c r="C15" s="127" t="s">
        <v>830</v>
      </c>
      <c r="D15" s="380" t="s">
        <v>932</v>
      </c>
      <c r="E15" s="380"/>
      <c r="F15" s="380"/>
      <c r="G15" s="129"/>
    </row>
    <row r="16" spans="1:7" ht="39" customHeight="1" x14ac:dyDescent="0.2">
      <c r="A16" s="127" t="s">
        <v>476</v>
      </c>
      <c r="B16" s="135">
        <f>B14*B7*B15</f>
        <v>20504092.261904757</v>
      </c>
      <c r="C16" s="127" t="s">
        <v>149</v>
      </c>
      <c r="D16" s="380" t="s">
        <v>831</v>
      </c>
      <c r="E16" s="380"/>
      <c r="F16" s="380"/>
    </row>
    <row r="17" spans="1:7" ht="39" customHeight="1" x14ac:dyDescent="0.2">
      <c r="A17" s="127" t="s">
        <v>477</v>
      </c>
      <c r="B17" s="135">
        <f>B14*'3b. Outputs - Ship Piggyback'!B5*2</f>
        <v>1267361.111111111</v>
      </c>
      <c r="C17" s="127" t="s">
        <v>149</v>
      </c>
      <c r="D17" s="380" t="s">
        <v>478</v>
      </c>
      <c r="E17" s="380"/>
      <c r="F17" s="380"/>
    </row>
    <row r="18" spans="1:7" ht="39" customHeight="1" x14ac:dyDescent="0.2">
      <c r="A18" s="127" t="s">
        <v>828</v>
      </c>
      <c r="B18" s="135">
        <f>B14*B7*('2. Cost Inputs'!B25+'2. Cost Inputs'!B26)*'2. Cost Inputs'!D25</f>
        <v>16103914.062499998</v>
      </c>
      <c r="C18" s="127"/>
      <c r="D18" s="129" t="s">
        <v>829</v>
      </c>
      <c r="E18" s="129"/>
      <c r="F18" s="129"/>
    </row>
    <row r="19" spans="1:7" ht="16.5" customHeight="1" x14ac:dyDescent="0.2">
      <c r="A19" s="127" t="s">
        <v>479</v>
      </c>
      <c r="B19" s="135">
        <f>B12*'2. Cost Inputs'!B24*'2. Cost Inputs'!D24+B14*'3b. Outputs - Ship Piggyback'!B7*(B7/365)</f>
        <v>9913216.6917691119</v>
      </c>
      <c r="C19" s="127" t="s">
        <v>149</v>
      </c>
      <c r="D19" s="380" t="s">
        <v>480</v>
      </c>
      <c r="E19" s="380"/>
      <c r="F19" s="380"/>
    </row>
    <row r="20" spans="1:7" ht="29" customHeight="1" x14ac:dyDescent="0.2">
      <c r="A20" s="127" t="s">
        <v>933</v>
      </c>
      <c r="B20" s="136">
        <f>SUM(B16:B19)+B22</f>
        <v>52188203.310615338</v>
      </c>
      <c r="C20" s="127" t="s">
        <v>149</v>
      </c>
      <c r="D20" s="380" t="s">
        <v>934</v>
      </c>
      <c r="E20" s="380"/>
      <c r="F20" s="380"/>
    </row>
    <row r="21" spans="1:7" ht="15" customHeight="1" x14ac:dyDescent="0.2">
      <c r="A21" s="127" t="s">
        <v>481</v>
      </c>
      <c r="B21" s="135">
        <f>B20/(B6*100)</f>
        <v>17.396067770205114</v>
      </c>
      <c r="C21" s="127" t="s">
        <v>482</v>
      </c>
      <c r="D21" s="380" t="s">
        <v>483</v>
      </c>
      <c r="E21" s="380"/>
      <c r="F21" s="380"/>
    </row>
    <row r="22" spans="1:7" ht="15" customHeight="1" x14ac:dyDescent="0.2">
      <c r="A22" s="127" t="s">
        <v>935</v>
      </c>
      <c r="B22" s="135">
        <f>B14*B7*'2. Cost Inputs'!B58</f>
        <v>4399619.1833303655</v>
      </c>
      <c r="C22" s="127" t="s">
        <v>149</v>
      </c>
      <c r="D22" s="129" t="s">
        <v>936</v>
      </c>
      <c r="E22" s="137"/>
      <c r="F22" s="137"/>
    </row>
    <row r="23" spans="1:7" ht="19.5" customHeight="1" x14ac:dyDescent="0.2">
      <c r="A23" s="379" t="s">
        <v>484</v>
      </c>
      <c r="B23" s="379"/>
      <c r="C23" s="379"/>
      <c r="D23" s="379"/>
      <c r="E23" s="379"/>
      <c r="F23" s="379"/>
    </row>
    <row r="24" spans="1:7" ht="41.5" customHeight="1" x14ac:dyDescent="0.2">
      <c r="A24" s="127" t="s">
        <v>485</v>
      </c>
      <c r="B24" s="138">
        <v>0.5</v>
      </c>
      <c r="C24" s="127" t="s">
        <v>64</v>
      </c>
      <c r="D24" s="381" t="s">
        <v>486</v>
      </c>
      <c r="E24" s="381"/>
      <c r="F24" s="381"/>
      <c r="G24" s="139" t="s">
        <v>800</v>
      </c>
    </row>
    <row r="25" spans="1:7" ht="29" customHeight="1" x14ac:dyDescent="0.2">
      <c r="A25" s="127" t="s">
        <v>487</v>
      </c>
      <c r="B25" s="138">
        <v>0.65</v>
      </c>
      <c r="C25" s="127" t="s">
        <v>64</v>
      </c>
      <c r="D25" s="381" t="s">
        <v>486</v>
      </c>
      <c r="E25" s="381"/>
      <c r="F25" s="381"/>
      <c r="G25" s="139" t="s">
        <v>799</v>
      </c>
    </row>
    <row r="26" spans="1:7" ht="39" customHeight="1" x14ac:dyDescent="0.2">
      <c r="A26" s="127" t="s">
        <v>488</v>
      </c>
      <c r="B26" s="138">
        <v>0.56999999999999995</v>
      </c>
      <c r="C26" s="127" t="s">
        <v>64</v>
      </c>
      <c r="D26" s="381" t="s">
        <v>489</v>
      </c>
      <c r="E26" s="381" t="s">
        <v>490</v>
      </c>
      <c r="F26" s="381"/>
    </row>
    <row r="27" spans="1:7" ht="27.75" customHeight="1" x14ac:dyDescent="0.2">
      <c r="A27" s="127" t="s">
        <v>491</v>
      </c>
      <c r="B27" s="140">
        <f>B31*'2. Cost Inputs'!B8</f>
        <v>66.5</v>
      </c>
      <c r="C27" s="127" t="s">
        <v>492</v>
      </c>
      <c r="D27" s="381" t="s">
        <v>493</v>
      </c>
      <c r="E27" s="381"/>
      <c r="F27" s="381"/>
    </row>
    <row r="28" spans="1:7" ht="28.5" customHeight="1" x14ac:dyDescent="0.2">
      <c r="A28" s="127" t="s">
        <v>494</v>
      </c>
      <c r="B28" s="135">
        <f>B27*10^9*B32</f>
        <v>13300000000</v>
      </c>
      <c r="C28" s="127" t="s">
        <v>149</v>
      </c>
      <c r="D28" s="381" t="s">
        <v>856</v>
      </c>
      <c r="E28" s="381"/>
      <c r="F28" s="381"/>
    </row>
    <row r="29" spans="1:7" ht="15" customHeight="1" x14ac:dyDescent="0.2">
      <c r="A29" s="127" t="s">
        <v>495</v>
      </c>
      <c r="B29" s="135">
        <f>B28*B10</f>
        <v>274841354.83369416</v>
      </c>
      <c r="C29" s="127" t="s">
        <v>149</v>
      </c>
      <c r="D29" s="381" t="s">
        <v>857</v>
      </c>
      <c r="E29" s="381"/>
      <c r="F29" s="381"/>
    </row>
    <row r="30" spans="1:7" ht="15" customHeight="1" x14ac:dyDescent="0.2">
      <c r="A30" s="127" t="s">
        <v>496</v>
      </c>
      <c r="B30" s="141">
        <f>B29/B20</f>
        <v>5.2663501979151306</v>
      </c>
      <c r="C30" s="127" t="s">
        <v>396</v>
      </c>
      <c r="D30" s="381" t="s">
        <v>497</v>
      </c>
      <c r="E30" s="381"/>
      <c r="F30" s="381"/>
    </row>
    <row r="31" spans="1:7" ht="15" customHeight="1" x14ac:dyDescent="0.2">
      <c r="A31" s="127" t="s">
        <v>937</v>
      </c>
      <c r="B31" s="138">
        <v>95</v>
      </c>
      <c r="C31" s="127" t="s">
        <v>938</v>
      </c>
      <c r="D31" s="139" t="s">
        <v>939</v>
      </c>
    </row>
    <row r="32" spans="1:7" ht="15" customHeight="1" x14ac:dyDescent="0.2">
      <c r="A32" s="127" t="s">
        <v>940</v>
      </c>
      <c r="B32" s="138">
        <v>0.2</v>
      </c>
      <c r="C32" s="127" t="s">
        <v>64</v>
      </c>
      <c r="D32" s="139" t="s">
        <v>941</v>
      </c>
      <c r="E32" s="137"/>
      <c r="F32" s="137"/>
    </row>
    <row r="33" spans="1:6" ht="19.5" customHeight="1" x14ac:dyDescent="0.2">
      <c r="A33" s="125" t="s">
        <v>498</v>
      </c>
      <c r="B33" s="143"/>
      <c r="C33" s="143"/>
      <c r="D33" s="143"/>
      <c r="E33" s="143"/>
      <c r="F33" s="143"/>
    </row>
    <row r="34" spans="1:6" ht="27.75" customHeight="1" x14ac:dyDescent="0.2">
      <c r="A34" s="383" t="s">
        <v>499</v>
      </c>
      <c r="B34" s="383"/>
      <c r="C34" s="383"/>
      <c r="D34" s="383"/>
      <c r="E34" s="383"/>
      <c r="F34" s="383"/>
    </row>
    <row r="35" spans="1:6" ht="49" customHeight="1" x14ac:dyDescent="0.2">
      <c r="A35" s="127" t="s">
        <v>500</v>
      </c>
      <c r="B35" s="144">
        <v>22</v>
      </c>
      <c r="C35" s="127" t="s">
        <v>390</v>
      </c>
      <c r="D35" s="381" t="s">
        <v>501</v>
      </c>
      <c r="E35" s="381" t="s">
        <v>502</v>
      </c>
      <c r="F35" s="381"/>
    </row>
    <row r="36" spans="1:6" ht="15" customHeight="1" x14ac:dyDescent="0.2">
      <c r="A36" s="127" t="s">
        <v>503</v>
      </c>
      <c r="B36" s="130" t="s">
        <v>504</v>
      </c>
      <c r="C36" s="127" t="s">
        <v>393</v>
      </c>
      <c r="D36" s="381" t="s">
        <v>505</v>
      </c>
      <c r="E36" s="381"/>
      <c r="F36" s="381"/>
    </row>
    <row r="37" spans="1:6" ht="15" customHeight="1" x14ac:dyDescent="0.2">
      <c r="A37" s="127" t="s">
        <v>506</v>
      </c>
      <c r="B37" s="145">
        <f>B9/B35</f>
        <v>3.6253971090053315E-2</v>
      </c>
      <c r="C37" s="127" t="s">
        <v>64</v>
      </c>
      <c r="D37" s="381" t="s">
        <v>858</v>
      </c>
      <c r="E37" s="381"/>
      <c r="F37" s="381"/>
    </row>
    <row r="38" spans="1:6" ht="15" customHeight="1" x14ac:dyDescent="0.2">
      <c r="A38" s="127" t="s">
        <v>507</v>
      </c>
      <c r="B38" s="135">
        <f>B28*B26</f>
        <v>7580999999.999999</v>
      </c>
      <c r="C38" s="127" t="s">
        <v>149</v>
      </c>
      <c r="D38" s="381" t="s">
        <v>859</v>
      </c>
      <c r="E38" s="381"/>
      <c r="F38" s="381"/>
    </row>
    <row r="39" spans="1:6" ht="27.75" customHeight="1" x14ac:dyDescent="0.2">
      <c r="A39" s="146" t="s">
        <v>508</v>
      </c>
      <c r="B39" s="141">
        <f>B38/B20</f>
        <v>145.26271300966565</v>
      </c>
      <c r="C39" s="127" t="s">
        <v>396</v>
      </c>
      <c r="D39" s="381" t="s">
        <v>509</v>
      </c>
      <c r="E39" s="381"/>
      <c r="F39" s="381"/>
    </row>
    <row r="40" spans="1:6" ht="27.75" customHeight="1" x14ac:dyDescent="0.2">
      <c r="A40" s="382" t="str">
        <f>CONCATENATE("Bracket: ",TEXT(B30,"0.0"),"x under our same-day accounting to ",TEXT(B39,"0.0"),"x if Harrison persistence and mobility assumptions hold - both priced on the chartered fleet.")</f>
        <v>Bracket: 5.3x under our same-day accounting to 145.3x if Harrison persistence and mobility assumptions hold - both priced on the chartered fleet.</v>
      </c>
      <c r="B40" s="382"/>
      <c r="C40" s="382"/>
      <c r="D40" s="382"/>
      <c r="E40" s="382"/>
      <c r="F40" s="382"/>
    </row>
    <row r="41" spans="1:6" ht="15" customHeight="1" x14ac:dyDescent="0.2">
      <c r="A41" s="137"/>
      <c r="B41" s="147"/>
      <c r="C41" s="137"/>
      <c r="D41" s="137"/>
      <c r="E41" s="137"/>
      <c r="F41" s="137"/>
    </row>
    <row r="42" spans="1:6" ht="15" customHeight="1" x14ac:dyDescent="0.2">
      <c r="A42" s="137"/>
      <c r="B42" s="142"/>
      <c r="C42" s="137"/>
      <c r="D42" s="137"/>
      <c r="E42" s="137"/>
      <c r="F42" s="137"/>
    </row>
    <row r="43" spans="1:6" ht="15" customHeight="1" x14ac:dyDescent="0.2">
      <c r="A43" s="137"/>
      <c r="B43" s="137"/>
      <c r="C43" s="137"/>
      <c r="D43" s="137"/>
      <c r="E43" s="137"/>
      <c r="F43" s="137"/>
    </row>
    <row r="44" spans="1:6" ht="15" customHeight="1" x14ac:dyDescent="0.2">
      <c r="A44" s="137"/>
      <c r="B44" s="147"/>
      <c r="C44" s="137"/>
      <c r="D44" s="137"/>
      <c r="E44" s="137"/>
      <c r="F44" s="137"/>
    </row>
    <row r="45" spans="1:6" ht="15" customHeight="1" x14ac:dyDescent="0.2">
      <c r="A45" s="137"/>
      <c r="B45" s="147"/>
      <c r="C45" s="137"/>
      <c r="D45" s="137"/>
      <c r="E45" s="137"/>
      <c r="F45" s="137"/>
    </row>
    <row r="46" spans="1:6" ht="15" customHeight="1" x14ac:dyDescent="0.2">
      <c r="A46" s="137"/>
      <c r="B46" s="147"/>
      <c r="C46" s="137"/>
      <c r="D46" s="137"/>
      <c r="E46" s="137"/>
      <c r="F46" s="137"/>
    </row>
    <row r="47" spans="1:6" ht="15" customHeight="1" x14ac:dyDescent="0.2">
      <c r="A47" s="137"/>
      <c r="B47" s="147"/>
      <c r="C47" s="137"/>
      <c r="D47" s="137"/>
      <c r="E47" s="137"/>
      <c r="F47" s="137"/>
    </row>
    <row r="48" spans="1:6" ht="15" customHeight="1" x14ac:dyDescent="0.2">
      <c r="A48" s="137"/>
      <c r="B48" s="147"/>
      <c r="C48" s="137"/>
      <c r="D48" s="137"/>
      <c r="E48" s="137"/>
      <c r="F48" s="137"/>
    </row>
    <row r="49" spans="1:6" ht="15" customHeight="1" x14ac:dyDescent="0.2">
      <c r="A49" s="137"/>
      <c r="B49" s="142"/>
      <c r="C49" s="137"/>
      <c r="D49" s="137"/>
      <c r="E49" s="137"/>
      <c r="F49" s="137"/>
    </row>
  </sheetData>
  <mergeCells count="34">
    <mergeCell ref="D37:F37"/>
    <mergeCell ref="D38:F38"/>
    <mergeCell ref="D39:F39"/>
    <mergeCell ref="A40:F40"/>
    <mergeCell ref="D29:F29"/>
    <mergeCell ref="D30:F30"/>
    <mergeCell ref="A34:F34"/>
    <mergeCell ref="D35:F35"/>
    <mergeCell ref="D36:F36"/>
    <mergeCell ref="D24:F24"/>
    <mergeCell ref="D25:F25"/>
    <mergeCell ref="D26:F26"/>
    <mergeCell ref="D27:F27"/>
    <mergeCell ref="D28:F28"/>
    <mergeCell ref="D17:F17"/>
    <mergeCell ref="D19:F19"/>
    <mergeCell ref="D20:F20"/>
    <mergeCell ref="D21:F21"/>
    <mergeCell ref="A23:F23"/>
    <mergeCell ref="D12:F12"/>
    <mergeCell ref="D13:F13"/>
    <mergeCell ref="D14:F14"/>
    <mergeCell ref="D15:F15"/>
    <mergeCell ref="D16:F16"/>
    <mergeCell ref="D7:F7"/>
    <mergeCell ref="D8:F8"/>
    <mergeCell ref="D9:F9"/>
    <mergeCell ref="D10:F10"/>
    <mergeCell ref="D11:F11"/>
    <mergeCell ref="A1:F1"/>
    <mergeCell ref="A2:F2"/>
    <mergeCell ref="D3:F3"/>
    <mergeCell ref="A4:F4"/>
    <mergeCell ref="D6:F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tint="-9.9978637043366805E-2"/>
  </sheetPr>
  <dimension ref="A1:D78"/>
  <sheetViews>
    <sheetView topLeftCell="A16" zoomScaleNormal="100" zoomScalePageLayoutView="60" workbookViewId="0">
      <selection activeCell="D47" sqref="D47"/>
    </sheetView>
  </sheetViews>
  <sheetFormatPr baseColWidth="10" defaultColWidth="8.6640625" defaultRowHeight="14" x14ac:dyDescent="0.15"/>
  <cols>
    <col min="1" max="1" width="32" style="167" customWidth="1"/>
    <col min="2" max="2" width="15" style="167" customWidth="1"/>
    <col min="3" max="3" width="34.33203125" style="167" customWidth="1"/>
    <col min="4" max="4" width="54" style="167" customWidth="1"/>
    <col min="5" max="16384" width="8.6640625" style="167"/>
  </cols>
  <sheetData>
    <row r="1" spans="1:4" ht="29" customHeight="1" x14ac:dyDescent="0.15">
      <c r="A1" s="384" t="s">
        <v>776</v>
      </c>
      <c r="B1" s="384"/>
      <c r="C1" s="384"/>
      <c r="D1" s="384"/>
    </row>
    <row r="2" spans="1:4" ht="15" customHeight="1" x14ac:dyDescent="0.15">
      <c r="A2" s="237" t="s">
        <v>510</v>
      </c>
      <c r="B2" s="238" t="s">
        <v>14</v>
      </c>
      <c r="C2" s="239" t="s">
        <v>511</v>
      </c>
    </row>
    <row r="3" spans="1:4" x14ac:dyDescent="0.15">
      <c r="A3" s="240" t="s">
        <v>512</v>
      </c>
      <c r="B3" s="241">
        <f>B9/B17</f>
        <v>3.2679738562091507E+17</v>
      </c>
    </row>
    <row r="5" spans="1:4" ht="20" customHeight="1" x14ac:dyDescent="0.15">
      <c r="A5" s="242"/>
      <c r="B5" s="238"/>
      <c r="C5" s="243"/>
      <c r="D5" s="166" t="s">
        <v>17</v>
      </c>
    </row>
    <row r="6" spans="1:4" ht="41.5" customHeight="1" x14ac:dyDescent="0.15">
      <c r="A6" s="240" t="s">
        <v>513</v>
      </c>
      <c r="B6" s="244">
        <v>75</v>
      </c>
      <c r="C6" s="238" t="s">
        <v>514</v>
      </c>
      <c r="D6" s="208" t="s">
        <v>808</v>
      </c>
    </row>
    <row r="7" spans="1:4" ht="31.5" customHeight="1" x14ac:dyDescent="0.15">
      <c r="A7" s="240" t="s">
        <v>515</v>
      </c>
      <c r="B7" s="244">
        <v>20</v>
      </c>
      <c r="C7" s="238" t="s">
        <v>514</v>
      </c>
      <c r="D7" s="208" t="s">
        <v>807</v>
      </c>
    </row>
    <row r="8" spans="1:4" ht="41.5" customHeight="1" x14ac:dyDescent="0.15">
      <c r="A8" s="240" t="s">
        <v>516</v>
      </c>
      <c r="B8" s="245">
        <v>1E+16</v>
      </c>
      <c r="C8" s="238" t="s">
        <v>514</v>
      </c>
      <c r="D8" s="208" t="s">
        <v>806</v>
      </c>
    </row>
    <row r="9" spans="1:4" ht="31.5" customHeight="1" x14ac:dyDescent="0.15">
      <c r="A9" s="240" t="s">
        <v>517</v>
      </c>
      <c r="B9" s="241">
        <f>B6*B8</f>
        <v>7.5E+17</v>
      </c>
    </row>
    <row r="10" spans="1:4" x14ac:dyDescent="0.15">
      <c r="A10" s="240" t="s">
        <v>518</v>
      </c>
      <c r="B10" s="246">
        <f>B6*B7^2</f>
        <v>30000</v>
      </c>
    </row>
    <row r="11" spans="1:4" ht="17" customHeight="1" x14ac:dyDescent="0.15">
      <c r="A11" s="242"/>
      <c r="B11" s="238"/>
      <c r="C11" s="243"/>
    </row>
    <row r="12" spans="1:4" ht="29" customHeight="1" x14ac:dyDescent="0.15">
      <c r="A12" s="247" t="s">
        <v>519</v>
      </c>
      <c r="B12" s="244">
        <v>151</v>
      </c>
      <c r="C12" s="238" t="s">
        <v>520</v>
      </c>
      <c r="D12" s="208" t="s">
        <v>805</v>
      </c>
    </row>
    <row r="13" spans="1:4" ht="91.5" customHeight="1" x14ac:dyDescent="0.15">
      <c r="A13" s="240" t="s">
        <v>521</v>
      </c>
      <c r="B13" s="248">
        <f>ROUND(0.51-0.48,3)</f>
        <v>0.03</v>
      </c>
      <c r="C13" s="238" t="s">
        <v>522</v>
      </c>
      <c r="D13" s="208" t="s">
        <v>804</v>
      </c>
    </row>
    <row r="14" spans="1:4" ht="29" customHeight="1" x14ac:dyDescent="0.15">
      <c r="A14" s="247" t="s">
        <v>523</v>
      </c>
      <c r="B14" s="249">
        <v>340</v>
      </c>
      <c r="D14" s="208" t="s">
        <v>803</v>
      </c>
    </row>
    <row r="15" spans="1:4" x14ac:dyDescent="0.15">
      <c r="A15" s="240" t="s">
        <v>524</v>
      </c>
      <c r="B15" s="250">
        <f>B13*B14</f>
        <v>10.199999999999999</v>
      </c>
    </row>
    <row r="16" spans="1:4" ht="29" customHeight="1" x14ac:dyDescent="0.15">
      <c r="A16" s="240" t="s">
        <v>403</v>
      </c>
      <c r="B16" s="248">
        <v>0.22500000000000001</v>
      </c>
      <c r="C16" s="238" t="s">
        <v>525</v>
      </c>
      <c r="D16" s="208" t="s">
        <v>810</v>
      </c>
    </row>
    <row r="17" spans="1:4" ht="31.5" customHeight="1" x14ac:dyDescent="0.15">
      <c r="A17" s="240" t="s">
        <v>526</v>
      </c>
      <c r="B17" s="250">
        <f>B15*B16</f>
        <v>2.2949999999999999</v>
      </c>
    </row>
    <row r="18" spans="1:4" ht="19" customHeight="1" x14ac:dyDescent="0.15">
      <c r="A18" s="242"/>
      <c r="B18" s="238"/>
      <c r="C18" s="243"/>
    </row>
    <row r="19" spans="1:4" ht="15" x14ac:dyDescent="0.15">
      <c r="A19" s="240" t="s">
        <v>527</v>
      </c>
      <c r="B19" s="251">
        <f>'5a. Cooling Model - Local'!B25</f>
        <v>2.2499999999999999E-2</v>
      </c>
      <c r="C19" s="238" t="s">
        <v>860</v>
      </c>
    </row>
    <row r="20" spans="1:4" ht="31.5" customHeight="1" x14ac:dyDescent="0.15">
      <c r="A20" s="240" t="s">
        <v>528</v>
      </c>
      <c r="B20" s="252">
        <f>B17*B19</f>
        <v>5.1637499999999996E-2</v>
      </c>
    </row>
    <row r="22" spans="1:4" ht="23" customHeight="1" x14ac:dyDescent="0.15">
      <c r="A22" s="242"/>
      <c r="B22" s="238"/>
      <c r="C22" s="243"/>
    </row>
    <row r="23" spans="1:4" ht="31.5" customHeight="1" x14ac:dyDescent="0.15">
      <c r="A23" s="240" t="s">
        <v>529</v>
      </c>
      <c r="B23" s="253">
        <f>'1. Technology Description'!B8</f>
        <v>1730000000000</v>
      </c>
      <c r="C23" s="238" t="s">
        <v>861</v>
      </c>
    </row>
    <row r="24" spans="1:4" ht="31.5" customHeight="1" x14ac:dyDescent="0.15">
      <c r="A24" s="240" t="s">
        <v>530</v>
      </c>
      <c r="B24" s="254">
        <f>'1. Technology Description'!B9</f>
        <v>0.71</v>
      </c>
      <c r="C24" s="238" t="s">
        <v>861</v>
      </c>
    </row>
    <row r="25" spans="1:4" ht="31.5" customHeight="1" x14ac:dyDescent="0.15">
      <c r="A25" s="240" t="s">
        <v>531</v>
      </c>
      <c r="B25" s="246">
        <f>$B$8/(B23*B24)</f>
        <v>8141.3335504355609</v>
      </c>
    </row>
    <row r="26" spans="1:4" ht="15" customHeight="1" x14ac:dyDescent="0.15">
      <c r="A26" s="240" t="s">
        <v>63</v>
      </c>
      <c r="B26" s="254">
        <f>'2. Cost Inputs'!B5</f>
        <v>0.9</v>
      </c>
      <c r="C26" s="238" t="s">
        <v>862</v>
      </c>
    </row>
    <row r="27" spans="1:4" ht="16.5" customHeight="1" x14ac:dyDescent="0.15">
      <c r="A27" s="240" t="s">
        <v>532</v>
      </c>
      <c r="B27" s="255">
        <v>0.95</v>
      </c>
      <c r="D27" s="208" t="s">
        <v>533</v>
      </c>
    </row>
    <row r="28" spans="1:4" ht="31.5" customHeight="1" x14ac:dyDescent="0.15">
      <c r="A28" s="247" t="s">
        <v>534</v>
      </c>
      <c r="B28" s="241">
        <f>$B$8*B26*B27</f>
        <v>8550000000000000</v>
      </c>
    </row>
    <row r="29" spans="1:4" ht="31.5" customHeight="1" x14ac:dyDescent="0.15">
      <c r="A29" s="240" t="s">
        <v>535</v>
      </c>
      <c r="B29" s="241">
        <f>B17*B3*B12*86400</f>
        <v>9.784800000000002E+24</v>
      </c>
    </row>
    <row r="30" spans="1:4" ht="31.5" customHeight="1" x14ac:dyDescent="0.15">
      <c r="A30" s="240" t="s">
        <v>536</v>
      </c>
      <c r="B30" s="241">
        <f>B28*B12*86400</f>
        <v>1.1154672E+23</v>
      </c>
    </row>
    <row r="31" spans="1:4" x14ac:dyDescent="0.15">
      <c r="A31" s="240" t="s">
        <v>537</v>
      </c>
      <c r="B31" s="256">
        <f>B29/B30</f>
        <v>87.719298245614056</v>
      </c>
    </row>
    <row r="32" spans="1:4" ht="31.5" customHeight="1" x14ac:dyDescent="0.15">
      <c r="A32" s="240" t="s">
        <v>538</v>
      </c>
      <c r="B32" s="238" t="str">
        <f>IF(ABS(B31*B30/B29-1)&lt;0.001,"MATCH","MISMATCH")</f>
        <v>MATCH</v>
      </c>
    </row>
    <row r="33" spans="1:3" ht="15" customHeight="1" x14ac:dyDescent="0.15">
      <c r="A33" s="242"/>
      <c r="B33" s="243"/>
      <c r="C33" s="243"/>
    </row>
    <row r="34" spans="1:3" ht="15" x14ac:dyDescent="0.15">
      <c r="A34" s="240" t="s">
        <v>539</v>
      </c>
      <c r="B34" s="257">
        <f>'1. Technology Description'!B17</f>
        <v>512</v>
      </c>
      <c r="C34" s="238" t="s">
        <v>861</v>
      </c>
    </row>
    <row r="35" spans="1:3" ht="31.5" customHeight="1" x14ac:dyDescent="0.15">
      <c r="A35" s="240" t="s">
        <v>540</v>
      </c>
      <c r="B35" s="258">
        <f>B25*B34/1000</f>
        <v>4168.3627778230075</v>
      </c>
    </row>
    <row r="36" spans="1:3" ht="15" x14ac:dyDescent="0.15">
      <c r="A36" s="240" t="s">
        <v>833</v>
      </c>
      <c r="B36" s="257">
        <f>'5c. Benefit - Local - Reef'!B15</f>
        <v>21428.571428571428</v>
      </c>
      <c r="C36" s="238" t="s">
        <v>863</v>
      </c>
    </row>
    <row r="37" spans="1:3" ht="15" customHeight="1" x14ac:dyDescent="0.15">
      <c r="A37" s="240" t="s">
        <v>541</v>
      </c>
      <c r="B37" s="335">
        <f>B12/7</f>
        <v>21.571428571428573</v>
      </c>
    </row>
    <row r="38" spans="1:3" ht="15" customHeight="1" x14ac:dyDescent="0.15">
      <c r="A38" s="247" t="s">
        <v>542</v>
      </c>
      <c r="B38" s="259">
        <f>'3b. Outputs - Ship Piggyback'!B5*2</f>
        <v>200000</v>
      </c>
      <c r="C38" s="238" t="s">
        <v>864</v>
      </c>
    </row>
    <row r="39" spans="1:3" ht="31.5" customHeight="1" x14ac:dyDescent="0.15">
      <c r="A39" s="240" t="s">
        <v>543</v>
      </c>
      <c r="B39" s="258">
        <f>B31*B12*B36</f>
        <v>283834586.46616548</v>
      </c>
    </row>
    <row r="40" spans="1:3" ht="31.5" customHeight="1" x14ac:dyDescent="0.15">
      <c r="A40" s="240" t="s">
        <v>544</v>
      </c>
      <c r="B40" s="258">
        <f>B31*B38</f>
        <v>17543859.649122812</v>
      </c>
    </row>
    <row r="41" spans="1:3" x14ac:dyDescent="0.15">
      <c r="A41" s="240" t="s">
        <v>545</v>
      </c>
      <c r="B41" s="260">
        <f>B12*24*B27*B26</f>
        <v>3098.52</v>
      </c>
    </row>
    <row r="42" spans="1:3" ht="15" customHeight="1" x14ac:dyDescent="0.15">
      <c r="A42" s="240" t="s">
        <v>546</v>
      </c>
      <c r="B42" s="257">
        <f>'2. Cost Inputs'!D24</f>
        <v>0.3</v>
      </c>
      <c r="C42" s="238" t="s">
        <v>862</v>
      </c>
    </row>
    <row r="43" spans="1:3" ht="18" customHeight="1" x14ac:dyDescent="0.15">
      <c r="A43" s="240" t="s">
        <v>547</v>
      </c>
      <c r="B43" s="238">
        <f>B31*B35*B41*B42</f>
        <v>339888300.90368807</v>
      </c>
    </row>
    <row r="44" spans="1:3" x14ac:dyDescent="0.15">
      <c r="A44" s="240" t="s">
        <v>548</v>
      </c>
      <c r="B44" s="261">
        <f>'3b. Outputs - Ship Piggyback'!B7</f>
        <v>180000</v>
      </c>
      <c r="C44" s="168" t="s">
        <v>865</v>
      </c>
    </row>
    <row r="45" spans="1:3" x14ac:dyDescent="0.15">
      <c r="A45" s="240" t="s">
        <v>549</v>
      </c>
      <c r="B45" s="168">
        <f>B31*B44*((B12/7)/52)</f>
        <v>6550028.9184499728</v>
      </c>
    </row>
    <row r="46" spans="1:3" ht="31.5" customHeight="1" x14ac:dyDescent="0.15">
      <c r="A46" s="247" t="s">
        <v>942</v>
      </c>
      <c r="B46" s="168">
        <f>B39+B40+B43+B45+B47</f>
        <v>708719939.83068025</v>
      </c>
    </row>
    <row r="47" spans="1:3" ht="91.5" customHeight="1" x14ac:dyDescent="0.15">
      <c r="A47" s="240" t="s">
        <v>943</v>
      </c>
      <c r="B47" s="168">
        <f>B31*B12*'2. Cost Inputs'!B58</f>
        <v>60903163.893253833</v>
      </c>
      <c r="C47" s="168" t="s">
        <v>862</v>
      </c>
    </row>
    <row r="48" spans="1:3" x14ac:dyDescent="0.15">
      <c r="A48" s="240" t="s">
        <v>550</v>
      </c>
      <c r="B48" s="263">
        <f>'5c. Benefit - Local - Reef'!B35</f>
        <v>22</v>
      </c>
      <c r="C48" s="168" t="s">
        <v>863</v>
      </c>
    </row>
    <row r="49" spans="1:4" x14ac:dyDescent="0.15">
      <c r="A49" s="264" t="s">
        <v>551</v>
      </c>
      <c r="B49" s="265">
        <f>'5c. Benefit - Local - Reef'!B26</f>
        <v>0.56999999999999995</v>
      </c>
      <c r="C49" s="168" t="s">
        <v>863</v>
      </c>
    </row>
    <row r="50" spans="1:4" ht="31.5" customHeight="1" x14ac:dyDescent="0.15">
      <c r="A50" s="240" t="s">
        <v>552</v>
      </c>
      <c r="B50" s="257">
        <f>'5c. Benefit - Local - Reef'!B28</f>
        <v>13300000000</v>
      </c>
      <c r="C50" s="238" t="s">
        <v>863</v>
      </c>
    </row>
    <row r="51" spans="1:4" ht="31.5" customHeight="1" x14ac:dyDescent="0.15">
      <c r="A51" s="240" t="s">
        <v>553</v>
      </c>
      <c r="B51" s="238">
        <f>B17/B48*B49</f>
        <v>5.9461363636363625E-2</v>
      </c>
    </row>
    <row r="52" spans="1:4" ht="31.5" customHeight="1" x14ac:dyDescent="0.15">
      <c r="A52" s="240" t="s">
        <v>554</v>
      </c>
      <c r="B52" s="241">
        <f>B51*B50</f>
        <v>790836136.36363626</v>
      </c>
    </row>
    <row r="53" spans="1:4" ht="66.5" customHeight="1" x14ac:dyDescent="0.15">
      <c r="A53" s="242"/>
      <c r="B53" s="266"/>
      <c r="C53" s="262"/>
    </row>
    <row r="54" spans="1:4" ht="31.5" customHeight="1" x14ac:dyDescent="0.15">
      <c r="A54" s="240" t="s">
        <v>555</v>
      </c>
      <c r="B54" s="267">
        <f>B46/B29*10^16</f>
        <v>0.72430702705285765</v>
      </c>
    </row>
    <row r="55" spans="1:4" ht="31.5" customHeight="1" x14ac:dyDescent="0.15">
      <c r="A55" s="240" t="s">
        <v>556</v>
      </c>
      <c r="B55" s="268">
        <f>B52/B46</f>
        <v>1.1158655089520613</v>
      </c>
    </row>
    <row r="56" spans="1:4" ht="31.5" customHeight="1" x14ac:dyDescent="0.15">
      <c r="A56" s="238"/>
      <c r="B56" s="241"/>
      <c r="C56" s="168"/>
      <c r="D56" s="238"/>
    </row>
    <row r="57" spans="1:4" x14ac:dyDescent="0.15">
      <c r="A57" s="366"/>
      <c r="B57" s="366"/>
      <c r="C57" s="366"/>
      <c r="D57" s="366"/>
    </row>
    <row r="58" spans="1:4" x14ac:dyDescent="0.15">
      <c r="A58" s="366"/>
      <c r="B58" s="366"/>
      <c r="C58" s="366"/>
      <c r="D58" s="366"/>
    </row>
    <row r="59" spans="1:4" x14ac:dyDescent="0.15">
      <c r="A59" s="366"/>
      <c r="B59" s="366"/>
      <c r="C59" s="366"/>
      <c r="D59" s="366"/>
    </row>
    <row r="60" spans="1:4" x14ac:dyDescent="0.15">
      <c r="A60" s="366"/>
      <c r="B60" s="366"/>
      <c r="C60" s="366"/>
      <c r="D60" s="366"/>
    </row>
    <row r="61" spans="1:4" x14ac:dyDescent="0.15">
      <c r="A61" s="366"/>
      <c r="B61" s="366"/>
      <c r="C61" s="366"/>
      <c r="D61" s="366"/>
    </row>
    <row r="62" spans="1:4" x14ac:dyDescent="0.15">
      <c r="A62" s="366"/>
      <c r="B62" s="366"/>
      <c r="C62" s="366"/>
      <c r="D62" s="366"/>
    </row>
    <row r="63" spans="1:4" x14ac:dyDescent="0.15">
      <c r="A63" s="366"/>
      <c r="B63" s="366"/>
      <c r="C63" s="366"/>
      <c r="D63" s="366"/>
    </row>
    <row r="64" spans="1:4" ht="15" customHeight="1" x14ac:dyDescent="0.15">
      <c r="A64" s="168"/>
      <c r="B64" s="168"/>
      <c r="C64" s="168"/>
      <c r="D64" s="168"/>
    </row>
    <row r="76" spans="1:4" ht="15" customHeight="1" x14ac:dyDescent="0.15">
      <c r="A76" s="168"/>
      <c r="B76" s="168"/>
      <c r="C76" s="168"/>
      <c r="D76" s="168"/>
    </row>
    <row r="77" spans="1:4" ht="15" customHeight="1" x14ac:dyDescent="0.15">
      <c r="A77" s="168"/>
      <c r="B77" s="168"/>
      <c r="C77" s="168"/>
      <c r="D77" s="168"/>
    </row>
    <row r="78" spans="1:4" ht="15" customHeight="1" x14ac:dyDescent="0.15">
      <c r="A78" s="168"/>
      <c r="B78" s="168"/>
      <c r="C78" s="168"/>
      <c r="D78" s="168"/>
    </row>
  </sheetData>
  <mergeCells count="8">
    <mergeCell ref="A61:D61"/>
    <mergeCell ref="A62:D62"/>
    <mergeCell ref="A63:D63"/>
    <mergeCell ref="A1:D1"/>
    <mergeCell ref="A57:D57"/>
    <mergeCell ref="A58:D58"/>
    <mergeCell ref="A59:D59"/>
    <mergeCell ref="A60:D6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9.9978637043366805E-2"/>
  </sheetPr>
  <dimension ref="A1:G41"/>
  <sheetViews>
    <sheetView topLeftCell="A8" zoomScaleNormal="100" zoomScalePageLayoutView="60" workbookViewId="0">
      <selection activeCell="G37" sqref="G37"/>
    </sheetView>
  </sheetViews>
  <sheetFormatPr baseColWidth="10" defaultColWidth="8.6640625" defaultRowHeight="15" x14ac:dyDescent="0.2"/>
  <cols>
    <col min="1" max="1" width="40" customWidth="1"/>
    <col min="2" max="2" width="15" customWidth="1"/>
    <col min="3" max="3" width="13" customWidth="1"/>
    <col min="4" max="4" width="58" customWidth="1"/>
    <col min="5" max="5" width="15" customWidth="1"/>
    <col min="6" max="6" width="34.1640625" customWidth="1"/>
    <col min="7" max="7" width="55" customWidth="1"/>
  </cols>
  <sheetData>
    <row r="1" spans="1:7" ht="23.25" customHeight="1" x14ac:dyDescent="0.2">
      <c r="A1" s="385" t="s">
        <v>557</v>
      </c>
      <c r="B1" s="385"/>
      <c r="C1" s="385"/>
      <c r="D1" s="385"/>
      <c r="E1" s="385"/>
      <c r="F1" s="385"/>
    </row>
    <row r="2" spans="1:7" ht="39" customHeight="1" x14ac:dyDescent="0.2">
      <c r="A2" s="377" t="s">
        <v>558</v>
      </c>
      <c r="B2" s="377"/>
      <c r="C2" s="377"/>
      <c r="D2" s="377"/>
      <c r="E2" s="377"/>
      <c r="F2" s="377"/>
    </row>
    <row r="3" spans="1:7" ht="34.5" customHeight="1" x14ac:dyDescent="0.2">
      <c r="A3" s="148" t="s">
        <v>559</v>
      </c>
      <c r="B3" s="149">
        <v>0.5</v>
      </c>
      <c r="C3" s="38" t="s">
        <v>64</v>
      </c>
      <c r="D3" s="109" t="s">
        <v>560</v>
      </c>
      <c r="G3" s="13" t="s">
        <v>561</v>
      </c>
    </row>
    <row r="4" spans="1:7" ht="19.5" customHeight="1" x14ac:dyDescent="0.2">
      <c r="A4" s="379" t="s">
        <v>452</v>
      </c>
      <c r="B4" s="379"/>
      <c r="C4" s="379"/>
      <c r="D4" s="379"/>
      <c r="E4" s="379"/>
      <c r="F4" s="379"/>
    </row>
    <row r="5" spans="1:7" ht="28.5" customHeight="1" x14ac:dyDescent="0.2">
      <c r="A5" s="383" t="s">
        <v>562</v>
      </c>
      <c r="B5" s="383"/>
      <c r="C5" s="383"/>
      <c r="D5" s="383"/>
      <c r="E5" s="383"/>
      <c r="F5" s="383"/>
    </row>
    <row r="6" spans="1:7" ht="18" customHeight="1" x14ac:dyDescent="0.2">
      <c r="A6" s="126" t="s">
        <v>453</v>
      </c>
      <c r="B6" s="126" t="s">
        <v>14</v>
      </c>
      <c r="C6" s="126" t="s">
        <v>15</v>
      </c>
      <c r="D6" s="126" t="s">
        <v>454</v>
      </c>
      <c r="F6" s="150"/>
      <c r="G6" s="4" t="s">
        <v>17</v>
      </c>
    </row>
    <row r="7" spans="1:7" ht="26" customHeight="1" x14ac:dyDescent="0.2">
      <c r="A7" s="127" t="s">
        <v>563</v>
      </c>
      <c r="B7" s="128">
        <v>50000</v>
      </c>
      <c r="C7" s="127" t="s">
        <v>564</v>
      </c>
      <c r="D7" s="380" t="s">
        <v>565</v>
      </c>
      <c r="E7" s="380"/>
      <c r="F7" s="380"/>
      <c r="G7" s="129" t="s">
        <v>566</v>
      </c>
    </row>
    <row r="8" spans="1:7" ht="26" customHeight="1" x14ac:dyDescent="0.2">
      <c r="A8" s="127" t="s">
        <v>567</v>
      </c>
      <c r="B8" s="151">
        <v>0.8</v>
      </c>
      <c r="C8" s="127" t="s">
        <v>568</v>
      </c>
      <c r="D8" s="380" t="s">
        <v>569</v>
      </c>
      <c r="E8" s="380"/>
      <c r="F8" s="380"/>
      <c r="G8" s="129" t="s">
        <v>570</v>
      </c>
    </row>
    <row r="9" spans="1:7" ht="29" customHeight="1" x14ac:dyDescent="0.2">
      <c r="A9" s="127" t="s">
        <v>571</v>
      </c>
      <c r="B9" s="128">
        <v>14</v>
      </c>
      <c r="C9" s="127" t="s">
        <v>175</v>
      </c>
      <c r="D9" s="380" t="s">
        <v>572</v>
      </c>
      <c r="E9" s="380"/>
      <c r="F9" s="380"/>
      <c r="G9" s="129" t="s">
        <v>814</v>
      </c>
    </row>
    <row r="10" spans="1:7" ht="15" customHeight="1" x14ac:dyDescent="0.2">
      <c r="A10" s="127" t="s">
        <v>465</v>
      </c>
      <c r="B10" s="152">
        <f>'5a. Cooling Model - Local'!B11</f>
        <v>2910.9271713195303</v>
      </c>
      <c r="C10" s="127" t="s">
        <v>385</v>
      </c>
      <c r="D10" s="380" t="s">
        <v>466</v>
      </c>
      <c r="E10" s="380"/>
      <c r="F10" s="380"/>
    </row>
    <row r="11" spans="1:7" ht="27.75" customHeight="1" x14ac:dyDescent="0.2">
      <c r="A11" s="127" t="s">
        <v>573</v>
      </c>
      <c r="B11" s="153">
        <f>(B7/100/B10)*(B9/'5a. Cooling Model - Local'!B24)/$B$3</f>
        <v>1.6031547311268717</v>
      </c>
      <c r="C11" s="127" t="s">
        <v>468</v>
      </c>
      <c r="D11" s="380" t="s">
        <v>574</v>
      </c>
      <c r="E11" s="380"/>
      <c r="F11" s="380"/>
    </row>
    <row r="12" spans="1:7" ht="27.75" customHeight="1" x14ac:dyDescent="0.2">
      <c r="A12" s="127" t="s">
        <v>575</v>
      </c>
      <c r="B12" s="152">
        <f>'3a. Outputs - Dedicated Vessel'!$B$22*(B9/365)</f>
        <v>15.179459591162928</v>
      </c>
      <c r="C12" s="127" t="s">
        <v>468</v>
      </c>
      <c r="D12" s="380" t="s">
        <v>576</v>
      </c>
      <c r="E12" s="380"/>
      <c r="F12" s="380"/>
    </row>
    <row r="13" spans="1:7" ht="15" customHeight="1" x14ac:dyDescent="0.2">
      <c r="A13" s="127" t="s">
        <v>577</v>
      </c>
      <c r="B13" s="154">
        <f>B11/B12</f>
        <v>0.10561342592592592</v>
      </c>
      <c r="C13" s="127" t="s">
        <v>123</v>
      </c>
      <c r="D13" s="380" t="s">
        <v>578</v>
      </c>
      <c r="E13" s="380"/>
      <c r="F13" s="380"/>
    </row>
    <row r="14" spans="1:7" ht="19.5" customHeight="1" x14ac:dyDescent="0.2">
      <c r="A14" s="127" t="s">
        <v>474</v>
      </c>
      <c r="B14" s="310">
        <f>'2. Cost Inputs'!B56</f>
        <v>150000</v>
      </c>
      <c r="C14" s="127" t="s">
        <v>475</v>
      </c>
      <c r="D14" s="380" t="s">
        <v>944</v>
      </c>
      <c r="E14" s="380"/>
      <c r="F14" s="380"/>
      <c r="G14" s="129" t="s">
        <v>811</v>
      </c>
    </row>
    <row r="15" spans="1:7" ht="15" customHeight="1" x14ac:dyDescent="0.2">
      <c r="A15" s="127" t="s">
        <v>476</v>
      </c>
      <c r="B15" s="155">
        <f>B13*(B9/7)*B14</f>
        <v>31684.027777777774</v>
      </c>
      <c r="C15" s="127" t="s">
        <v>149</v>
      </c>
      <c r="D15" s="380" t="s">
        <v>579</v>
      </c>
      <c r="E15" s="380"/>
      <c r="F15" s="380"/>
    </row>
    <row r="16" spans="1:7" ht="27.75" customHeight="1" x14ac:dyDescent="0.2">
      <c r="A16" s="127" t="s">
        <v>477</v>
      </c>
      <c r="B16" s="155">
        <f>B13*'3b. Outputs - Ship Piggyback'!B5*2</f>
        <v>21122.685185185182</v>
      </c>
      <c r="C16" s="127" t="s">
        <v>149</v>
      </c>
      <c r="D16" s="380" t="s">
        <v>478</v>
      </c>
      <c r="E16" s="380"/>
      <c r="F16" s="380"/>
    </row>
    <row r="17" spans="1:7" ht="39.75" customHeight="1" x14ac:dyDescent="0.2">
      <c r="A17" s="127" t="s">
        <v>479</v>
      </c>
      <c r="B17" s="155">
        <f>B11*'2. Cost Inputs'!B24*'2. Cost Inputs'!D24+B13*'3b. Outputs - Ship Piggyback'!B7*(B9/365)</f>
        <v>15318.43638904719</v>
      </c>
      <c r="C17" s="127" t="s">
        <v>149</v>
      </c>
      <c r="D17" s="380" t="s">
        <v>480</v>
      </c>
      <c r="E17" s="380"/>
      <c r="F17" s="380"/>
    </row>
    <row r="18" spans="1:7" ht="39.75" customHeight="1" x14ac:dyDescent="0.2">
      <c r="A18" s="127" t="s">
        <v>945</v>
      </c>
      <c r="B18" s="156">
        <f>SUM(B15:B17)+B20</f>
        <v>74923.677891372747</v>
      </c>
      <c r="C18" s="127" t="s">
        <v>149</v>
      </c>
      <c r="D18" s="380" t="s">
        <v>580</v>
      </c>
      <c r="E18" s="380"/>
      <c r="F18" s="380"/>
    </row>
    <row r="19" spans="1:7" ht="15" customHeight="1" x14ac:dyDescent="0.2">
      <c r="A19" s="127" t="s">
        <v>481</v>
      </c>
      <c r="B19" s="155">
        <f>B18/B7</f>
        <v>1.4984735578274548</v>
      </c>
      <c r="C19" s="127" t="s">
        <v>482</v>
      </c>
      <c r="D19" s="380" t="s">
        <v>483</v>
      </c>
      <c r="E19" s="380"/>
      <c r="F19" s="380"/>
    </row>
    <row r="20" spans="1:7" ht="15" customHeight="1" x14ac:dyDescent="0.2">
      <c r="A20" s="127" t="s">
        <v>946</v>
      </c>
      <c r="B20" s="155">
        <f>B13*B9*'2. Cost Inputs'!B58</f>
        <v>6798.5285393625973</v>
      </c>
      <c r="C20" s="127" t="s">
        <v>149</v>
      </c>
      <c r="D20" s="129" t="s">
        <v>947</v>
      </c>
      <c r="E20" s="137"/>
      <c r="F20" s="137"/>
    </row>
    <row r="21" spans="1:7" ht="19.5" customHeight="1" x14ac:dyDescent="0.2">
      <c r="A21" s="379" t="s">
        <v>581</v>
      </c>
      <c r="B21" s="379"/>
      <c r="C21" s="379"/>
      <c r="D21" s="379"/>
      <c r="E21" s="379"/>
      <c r="F21" s="379"/>
    </row>
    <row r="22" spans="1:7" ht="18" customHeight="1" x14ac:dyDescent="0.2">
      <c r="A22" s="127" t="s">
        <v>582</v>
      </c>
      <c r="B22" s="128">
        <v>2000000</v>
      </c>
      <c r="C22" s="127" t="s">
        <v>273</v>
      </c>
      <c r="D22" s="380" t="s">
        <v>583</v>
      </c>
      <c r="E22" s="380"/>
      <c r="F22" s="380"/>
      <c r="G22" s="129" t="s">
        <v>584</v>
      </c>
    </row>
    <row r="23" spans="1:7" ht="29" customHeight="1" x14ac:dyDescent="0.2">
      <c r="A23" s="127" t="s">
        <v>585</v>
      </c>
      <c r="B23" s="128">
        <v>200</v>
      </c>
      <c r="C23" s="127" t="s">
        <v>586</v>
      </c>
      <c r="D23" s="380" t="s">
        <v>587</v>
      </c>
      <c r="E23" s="380"/>
      <c r="F23" s="380"/>
      <c r="G23" s="129" t="s">
        <v>588</v>
      </c>
    </row>
    <row r="24" spans="1:7" ht="18" customHeight="1" x14ac:dyDescent="0.2">
      <c r="A24" s="127" t="s">
        <v>589</v>
      </c>
      <c r="B24" s="157">
        <v>5.7000000000000002E-2</v>
      </c>
      <c r="C24" s="127" t="s">
        <v>590</v>
      </c>
      <c r="D24" s="380" t="s">
        <v>591</v>
      </c>
      <c r="E24" s="380"/>
      <c r="F24" s="380"/>
      <c r="G24" s="129" t="s">
        <v>812</v>
      </c>
    </row>
    <row r="25" spans="1:7" ht="29" customHeight="1" x14ac:dyDescent="0.2">
      <c r="A25" s="127" t="s">
        <v>592</v>
      </c>
      <c r="B25" s="158">
        <f>B8*B30</f>
        <v>0.35200000000000004</v>
      </c>
      <c r="C25" s="127" t="s">
        <v>568</v>
      </c>
      <c r="D25" s="380" t="s">
        <v>593</v>
      </c>
      <c r="E25" s="380"/>
      <c r="F25" s="380"/>
    </row>
    <row r="26" spans="1:7" ht="29" customHeight="1" x14ac:dyDescent="0.2">
      <c r="A26" s="127" t="s">
        <v>594</v>
      </c>
      <c r="B26" s="152">
        <f>B23*(1-1/(1+B24)^B25)</f>
        <v>3.8647740367196759</v>
      </c>
      <c r="C26" s="127" t="s">
        <v>586</v>
      </c>
      <c r="D26" s="380" t="s">
        <v>866</v>
      </c>
      <c r="E26" s="380"/>
      <c r="F26" s="380"/>
    </row>
    <row r="27" spans="1:7" ht="27.75" customHeight="1" x14ac:dyDescent="0.2">
      <c r="A27" s="127" t="s">
        <v>595</v>
      </c>
      <c r="B27" s="134">
        <v>10000000</v>
      </c>
      <c r="C27" s="127" t="s">
        <v>596</v>
      </c>
      <c r="D27" s="380" t="s">
        <v>597</v>
      </c>
      <c r="E27" s="380"/>
      <c r="F27" s="380"/>
      <c r="G27" s="129" t="s">
        <v>598</v>
      </c>
    </row>
    <row r="28" spans="1:7" ht="15" customHeight="1" x14ac:dyDescent="0.2">
      <c r="A28" s="127" t="s">
        <v>495</v>
      </c>
      <c r="B28" s="155">
        <f>B26*B27</f>
        <v>38647740.367196761</v>
      </c>
      <c r="C28" s="127" t="s">
        <v>149</v>
      </c>
      <c r="D28" s="380" t="s">
        <v>599</v>
      </c>
      <c r="E28" s="380"/>
      <c r="F28" s="380"/>
    </row>
    <row r="29" spans="1:7" ht="15" customHeight="1" x14ac:dyDescent="0.2">
      <c r="A29" s="127" t="s">
        <v>496</v>
      </c>
      <c r="B29" s="159">
        <f>B28/B18</f>
        <v>515.82812609959899</v>
      </c>
      <c r="C29" s="127" t="s">
        <v>396</v>
      </c>
      <c r="D29" s="380" t="s">
        <v>600</v>
      </c>
      <c r="E29" s="380"/>
      <c r="F29" s="380"/>
    </row>
    <row r="30" spans="1:7" ht="15" customHeight="1" x14ac:dyDescent="0.2">
      <c r="A30" s="127" t="s">
        <v>948</v>
      </c>
      <c r="B30" s="134">
        <v>0.44</v>
      </c>
      <c r="C30" s="127" t="s">
        <v>64</v>
      </c>
      <c r="D30" s="129" t="s">
        <v>949</v>
      </c>
    </row>
    <row r="31" spans="1:7" ht="19.5" customHeight="1" x14ac:dyDescent="0.2">
      <c r="A31" s="379" t="s">
        <v>601</v>
      </c>
      <c r="B31" s="379"/>
      <c r="C31" s="379"/>
      <c r="D31" s="379"/>
      <c r="E31" s="379"/>
      <c r="F31" s="379"/>
    </row>
    <row r="32" spans="1:7" ht="27.75" customHeight="1" x14ac:dyDescent="0.2">
      <c r="A32" s="383" t="s">
        <v>602</v>
      </c>
      <c r="B32" s="383"/>
      <c r="C32" s="383"/>
      <c r="D32" s="383"/>
      <c r="E32" s="383"/>
      <c r="F32" s="383"/>
    </row>
    <row r="33" spans="1:7" ht="18" customHeight="1" x14ac:dyDescent="0.2">
      <c r="A33" s="126" t="s">
        <v>453</v>
      </c>
      <c r="B33" s="126" t="s">
        <v>14</v>
      </c>
      <c r="C33" s="126" t="s">
        <v>15</v>
      </c>
      <c r="D33" s="126" t="s">
        <v>454</v>
      </c>
      <c r="E33" s="160"/>
      <c r="F33" s="160"/>
    </row>
    <row r="34" spans="1:7" ht="66.5" customHeight="1" x14ac:dyDescent="0.2">
      <c r="A34" s="127" t="s">
        <v>603</v>
      </c>
      <c r="B34" s="161" t="s">
        <v>604</v>
      </c>
      <c r="C34" s="127" t="s">
        <v>605</v>
      </c>
      <c r="D34" s="380" t="s">
        <v>606</v>
      </c>
      <c r="E34" s="380"/>
      <c r="F34" s="380"/>
      <c r="G34" s="129" t="s">
        <v>809</v>
      </c>
    </row>
    <row r="35" spans="1:7" ht="29" customHeight="1" x14ac:dyDescent="0.2">
      <c r="A35" s="127" t="s">
        <v>607</v>
      </c>
      <c r="B35" s="162">
        <v>13</v>
      </c>
      <c r="C35" s="127" t="s">
        <v>396</v>
      </c>
      <c r="D35" s="380" t="s">
        <v>608</v>
      </c>
      <c r="E35" s="380"/>
      <c r="F35" s="380"/>
      <c r="G35" s="129" t="s">
        <v>813</v>
      </c>
    </row>
    <row r="36" spans="1:7" ht="27.75" customHeight="1" x14ac:dyDescent="0.2">
      <c r="A36" s="127" t="s">
        <v>609</v>
      </c>
      <c r="B36" s="163">
        <f>B29</f>
        <v>515.82812609959899</v>
      </c>
      <c r="C36" s="127" t="s">
        <v>396</v>
      </c>
      <c r="D36" s="380" t="s">
        <v>867</v>
      </c>
      <c r="E36" s="380"/>
      <c r="F36" s="380"/>
    </row>
    <row r="37" spans="1:7" ht="27.75" customHeight="1" x14ac:dyDescent="0.2">
      <c r="A37" s="386" t="str">
        <f>CONCATENATE("This profile (",TEXT(B29,"0.0"),"x on the daily-mean realized dose) sits at the top of the demonstrated urban-cooling range and near the global geoengineering mortality anchor. The dose basis is daily-mean, not instantaneous peak - the epidemiology does not support a peak-based dose.")</f>
        <v>This profile (515.8x on the daily-mean realized dose) sits at the top of the demonstrated urban-cooling range and near the global geoengineering mortality anchor. The dose basis is daily-mean, not instantaneous peak - the epidemiology does not support a peak-based dose.</v>
      </c>
      <c r="B37" s="386"/>
      <c r="C37" s="386"/>
      <c r="D37" s="386"/>
      <c r="E37" s="386"/>
      <c r="F37" s="386"/>
    </row>
    <row r="38" spans="1:7" ht="15" customHeight="1" x14ac:dyDescent="0.2"/>
    <row r="39" spans="1:7" ht="15" customHeight="1" x14ac:dyDescent="0.2"/>
    <row r="40" spans="1:7" ht="15" customHeight="1" x14ac:dyDescent="0.2"/>
    <row r="41" spans="1:7" ht="15" customHeight="1" x14ac:dyDescent="0.2"/>
  </sheetData>
  <mergeCells count="32">
    <mergeCell ref="D36:F36"/>
    <mergeCell ref="A37:F37"/>
    <mergeCell ref="D29:F29"/>
    <mergeCell ref="A31:F31"/>
    <mergeCell ref="A32:F32"/>
    <mergeCell ref="D34:F34"/>
    <mergeCell ref="D35:F35"/>
    <mergeCell ref="D24:F24"/>
    <mergeCell ref="D25:F25"/>
    <mergeCell ref="D26:F26"/>
    <mergeCell ref="D27:F27"/>
    <mergeCell ref="D28:F28"/>
    <mergeCell ref="D18:F18"/>
    <mergeCell ref="D19:F19"/>
    <mergeCell ref="A21:F21"/>
    <mergeCell ref="D22:F22"/>
    <mergeCell ref="D23:F23"/>
    <mergeCell ref="D13:F13"/>
    <mergeCell ref="D14:F14"/>
    <mergeCell ref="D15:F15"/>
    <mergeCell ref="D16:F16"/>
    <mergeCell ref="D17:F17"/>
    <mergeCell ref="D8:F8"/>
    <mergeCell ref="D9:F9"/>
    <mergeCell ref="D10:F10"/>
    <mergeCell ref="D11:F11"/>
    <mergeCell ref="D12:F12"/>
    <mergeCell ref="A1:F1"/>
    <mergeCell ref="A2:F2"/>
    <mergeCell ref="A4:F4"/>
    <mergeCell ref="A5:F5"/>
    <mergeCell ref="D7:F7"/>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82"/>
  <sheetViews>
    <sheetView tabSelected="1" zoomScaleNormal="100" zoomScalePageLayoutView="60" workbookViewId="0">
      <selection activeCell="A4" sqref="A4:G4"/>
    </sheetView>
  </sheetViews>
  <sheetFormatPr baseColWidth="10" defaultColWidth="8.6640625" defaultRowHeight="14" x14ac:dyDescent="0.15"/>
  <cols>
    <col min="1" max="1" width="40" style="167" customWidth="1"/>
    <col min="2" max="2" width="23" style="167" customWidth="1"/>
    <col min="3" max="3" width="21" style="167" customWidth="1"/>
    <col min="4" max="4" width="18.5" style="167" customWidth="1"/>
    <col min="5" max="5" width="15" style="167" customWidth="1"/>
    <col min="6" max="6" width="29.83203125" style="167" customWidth="1"/>
    <col min="7" max="7" width="46" style="167" customWidth="1"/>
    <col min="8" max="8" width="17.83203125" style="167" customWidth="1"/>
    <col min="9" max="9" width="20" style="167" customWidth="1"/>
    <col min="10" max="10" width="33.5" style="167" customWidth="1"/>
    <col min="11" max="16384" width="8.6640625" style="167"/>
  </cols>
  <sheetData>
    <row r="1" spans="1:8" ht="18" customHeight="1" x14ac:dyDescent="0.15">
      <c r="A1" s="388" t="s">
        <v>610</v>
      </c>
      <c r="B1" s="388"/>
      <c r="C1" s="388"/>
      <c r="D1" s="388"/>
      <c r="E1" s="388"/>
      <c r="F1" s="388"/>
      <c r="G1" s="388"/>
    </row>
    <row r="2" spans="1:8" ht="29" customHeight="1" x14ac:dyDescent="0.15">
      <c r="A2" s="363" t="s">
        <v>611</v>
      </c>
      <c r="B2" s="363"/>
      <c r="C2" s="363"/>
      <c r="D2" s="363"/>
      <c r="E2" s="363"/>
      <c r="F2" s="363"/>
      <c r="G2" s="363"/>
    </row>
    <row r="3" spans="1:8" ht="46" customHeight="1" x14ac:dyDescent="0.15">
      <c r="A3" s="363" t="s">
        <v>979</v>
      </c>
      <c r="B3" s="363"/>
      <c r="C3" s="363"/>
      <c r="D3" s="363"/>
      <c r="E3" s="363"/>
      <c r="F3" s="363"/>
      <c r="G3" s="363"/>
    </row>
    <row r="4" spans="1:8" ht="19.5" customHeight="1" x14ac:dyDescent="0.15">
      <c r="A4" s="351" t="s">
        <v>612</v>
      </c>
      <c r="B4" s="351"/>
      <c r="C4" s="351"/>
      <c r="D4" s="351"/>
      <c r="E4" s="351"/>
      <c r="F4" s="351"/>
      <c r="G4" s="351"/>
    </row>
    <row r="5" spans="1:8" ht="29" customHeight="1" x14ac:dyDescent="0.15">
      <c r="A5" s="363" t="s">
        <v>613</v>
      </c>
      <c r="B5" s="363"/>
      <c r="C5" s="363"/>
      <c r="D5" s="363"/>
      <c r="E5" s="363"/>
      <c r="F5" s="363"/>
      <c r="G5" s="363"/>
    </row>
    <row r="6" spans="1:8" ht="24" customHeight="1" x14ac:dyDescent="0.15">
      <c r="A6" s="111" t="s">
        <v>614</v>
      </c>
      <c r="B6" s="269" t="s">
        <v>615</v>
      </c>
      <c r="C6" s="269" t="s">
        <v>616</v>
      </c>
      <c r="D6" s="269" t="s">
        <v>617</v>
      </c>
      <c r="E6" s="269" t="s">
        <v>618</v>
      </c>
      <c r="F6" s="182"/>
      <c r="G6" s="111" t="s">
        <v>268</v>
      </c>
    </row>
    <row r="7" spans="1:8" ht="30" customHeight="1" x14ac:dyDescent="0.15">
      <c r="A7" s="270" t="s">
        <v>619</v>
      </c>
      <c r="B7" s="271" t="s">
        <v>620</v>
      </c>
      <c r="C7" s="281">
        <v>7.5</v>
      </c>
      <c r="D7" s="337">
        <v>-1.042</v>
      </c>
      <c r="E7" s="337">
        <v>-0.14000000000000001</v>
      </c>
      <c r="F7" s="227"/>
      <c r="G7" s="387" t="s">
        <v>621</v>
      </c>
      <c r="H7" s="387"/>
    </row>
    <row r="8" spans="1:8" ht="25.5" customHeight="1" x14ac:dyDescent="0.15">
      <c r="A8" s="270" t="s">
        <v>619</v>
      </c>
      <c r="B8" s="271" t="s">
        <v>622</v>
      </c>
      <c r="C8" s="281">
        <v>49.5</v>
      </c>
      <c r="D8" s="337">
        <v>-1.145</v>
      </c>
      <c r="E8" s="337">
        <v>-2.3099999999999999E-2</v>
      </c>
      <c r="F8" s="227"/>
      <c r="G8" s="273" t="s">
        <v>623</v>
      </c>
    </row>
    <row r="9" spans="1:8" ht="30" customHeight="1" x14ac:dyDescent="0.15">
      <c r="A9" s="270" t="s">
        <v>619</v>
      </c>
      <c r="B9" s="271" t="s">
        <v>624</v>
      </c>
      <c r="C9" s="281">
        <v>150</v>
      </c>
      <c r="D9" s="337">
        <v>-1.1339999999999999</v>
      </c>
      <c r="E9" s="337">
        <v>-7.5599999999999999E-3</v>
      </c>
      <c r="F9" s="227"/>
      <c r="G9" s="387" t="s">
        <v>625</v>
      </c>
      <c r="H9" s="387"/>
    </row>
    <row r="10" spans="1:8" ht="25.5" customHeight="1" x14ac:dyDescent="0.15">
      <c r="A10" s="270" t="s">
        <v>626</v>
      </c>
      <c r="B10" s="271" t="s">
        <v>620</v>
      </c>
      <c r="C10" s="281">
        <v>12.5</v>
      </c>
      <c r="D10" s="337">
        <v>-2.948</v>
      </c>
      <c r="E10" s="337">
        <v>-0.23599999999999999</v>
      </c>
      <c r="F10" s="227"/>
      <c r="G10" s="387" t="s">
        <v>627</v>
      </c>
      <c r="H10" s="387"/>
    </row>
    <row r="11" spans="1:8" ht="25.5" customHeight="1" x14ac:dyDescent="0.15">
      <c r="A11" s="270" t="s">
        <v>626</v>
      </c>
      <c r="B11" s="271" t="s">
        <v>622</v>
      </c>
      <c r="C11" s="281">
        <v>82.5</v>
      </c>
      <c r="D11" s="337">
        <v>-3.0649999999999999</v>
      </c>
      <c r="E11" s="337">
        <v>-3.7199999999999997E-2</v>
      </c>
      <c r="F11" s="227"/>
      <c r="G11" s="273"/>
    </row>
    <row r="12" spans="1:8" ht="25.5" customHeight="1" x14ac:dyDescent="0.15">
      <c r="A12" s="270" t="s">
        <v>626</v>
      </c>
      <c r="B12" s="271" t="s">
        <v>624</v>
      </c>
      <c r="C12" s="281">
        <v>250</v>
      </c>
      <c r="D12" s="337">
        <v>-1.8859999999999999</v>
      </c>
      <c r="E12" s="337">
        <v>-7.5399999999999998E-3</v>
      </c>
      <c r="F12" s="227"/>
      <c r="G12" s="273"/>
    </row>
    <row r="13" spans="1:8" ht="15" customHeight="1" x14ac:dyDescent="0.15">
      <c r="A13" s="270" t="s">
        <v>626</v>
      </c>
      <c r="B13" s="270" t="s">
        <v>840</v>
      </c>
      <c r="C13" s="270">
        <f>C10</f>
        <v>12.5</v>
      </c>
      <c r="D13" s="270">
        <f>D10*(12.9/7.21)</f>
        <v>-5.2745076282940362</v>
      </c>
      <c r="E13" s="270">
        <f>D13/C13</f>
        <v>-0.42196061026352288</v>
      </c>
      <c r="G13" s="387" t="s">
        <v>842</v>
      </c>
      <c r="H13" s="387"/>
    </row>
    <row r="14" spans="1:8" ht="19.5" customHeight="1" x14ac:dyDescent="0.15">
      <c r="A14" s="351" t="s">
        <v>628</v>
      </c>
      <c r="B14" s="351"/>
      <c r="C14" s="351"/>
      <c r="D14" s="351"/>
      <c r="E14" s="351"/>
      <c r="F14" s="351"/>
      <c r="G14" s="351"/>
    </row>
    <row r="15" spans="1:8" ht="30" customHeight="1" x14ac:dyDescent="0.15">
      <c r="A15" s="363" t="s">
        <v>629</v>
      </c>
      <c r="B15" s="363"/>
      <c r="C15" s="363"/>
      <c r="D15" s="363"/>
      <c r="E15" s="363"/>
      <c r="F15" s="363"/>
      <c r="G15" s="363"/>
    </row>
    <row r="16" spans="1:8" ht="30" customHeight="1" x14ac:dyDescent="0.15">
      <c r="A16" s="274" t="s">
        <v>836</v>
      </c>
      <c r="B16" s="336">
        <v>90</v>
      </c>
      <c r="C16" s="275" t="s">
        <v>24</v>
      </c>
      <c r="D16" s="337">
        <v>0.157</v>
      </c>
      <c r="E16" s="276" t="s">
        <v>838</v>
      </c>
      <c r="F16" s="276"/>
      <c r="G16" s="387" t="s">
        <v>834</v>
      </c>
      <c r="H16" s="387"/>
    </row>
    <row r="17" spans="1:9" ht="30" customHeight="1" x14ac:dyDescent="0.15">
      <c r="A17" s="274" t="s">
        <v>841</v>
      </c>
      <c r="B17" s="336">
        <v>90</v>
      </c>
      <c r="C17" s="275" t="s">
        <v>24</v>
      </c>
      <c r="D17" s="337">
        <v>0.157</v>
      </c>
      <c r="E17" s="276" t="s">
        <v>838</v>
      </c>
      <c r="F17" s="276"/>
      <c r="G17" s="387" t="s">
        <v>834</v>
      </c>
      <c r="H17" s="387"/>
    </row>
    <row r="18" spans="1:9" ht="30" customHeight="1" x14ac:dyDescent="0.15">
      <c r="A18" s="274" t="s">
        <v>837</v>
      </c>
      <c r="B18" s="336">
        <v>90</v>
      </c>
      <c r="C18" s="275" t="s">
        <v>24</v>
      </c>
      <c r="D18" s="337">
        <v>0.13100000000000001</v>
      </c>
      <c r="E18" s="276" t="s">
        <v>838</v>
      </c>
      <c r="F18" s="276"/>
      <c r="G18" s="387" t="s">
        <v>834</v>
      </c>
      <c r="H18" s="387"/>
    </row>
    <row r="19" spans="1:9" ht="30" customHeight="1" x14ac:dyDescent="0.15">
      <c r="A19" s="274" t="s">
        <v>630</v>
      </c>
      <c r="B19" s="336">
        <v>172</v>
      </c>
      <c r="C19" s="275" t="s">
        <v>24</v>
      </c>
      <c r="D19" s="337">
        <v>0.80500000000000005</v>
      </c>
      <c r="E19" s="276" t="s">
        <v>838</v>
      </c>
      <c r="F19" s="276"/>
      <c r="G19" s="387" t="s">
        <v>834</v>
      </c>
      <c r="H19" s="387"/>
    </row>
    <row r="20" spans="1:9" ht="29" customHeight="1" x14ac:dyDescent="0.15">
      <c r="A20" s="274" t="s">
        <v>631</v>
      </c>
      <c r="B20" s="277">
        <f>'1. Technology Description'!B10</f>
        <v>150</v>
      </c>
      <c r="C20" s="275" t="s">
        <v>24</v>
      </c>
      <c r="D20" s="338">
        <f>'1. Technology Description'!B9</f>
        <v>0.71</v>
      </c>
      <c r="E20" s="276"/>
      <c r="F20" s="276"/>
      <c r="G20" s="387"/>
      <c r="H20" s="387"/>
    </row>
    <row r="21" spans="1:9" ht="15" customHeight="1" x14ac:dyDescent="0.15"/>
    <row r="22" spans="1:9" ht="19.5" customHeight="1" x14ac:dyDescent="0.15">
      <c r="A22" s="351" t="s">
        <v>632</v>
      </c>
      <c r="B22" s="351"/>
      <c r="C22" s="351"/>
      <c r="D22" s="351"/>
      <c r="E22" s="351"/>
      <c r="F22" s="351"/>
      <c r="G22" s="351"/>
    </row>
    <row r="23" spans="1:9" ht="31.5" customHeight="1" x14ac:dyDescent="0.15">
      <c r="A23" s="363" t="s">
        <v>633</v>
      </c>
      <c r="B23" s="363"/>
      <c r="C23" s="363"/>
      <c r="D23" s="363"/>
      <c r="E23" s="363"/>
      <c r="F23" s="363"/>
      <c r="G23" s="363"/>
    </row>
    <row r="24" spans="1:9" ht="41.5" customHeight="1" x14ac:dyDescent="0.15">
      <c r="A24" s="278" t="s">
        <v>634</v>
      </c>
      <c r="B24" s="279">
        <f>('5a. Cooling Model - Local'!B19*'5a. Cooling Model - Local'!B11*10^6/(5.1*10^14)*('5a. Cooling Model - Local'!B24/365)*10^6)*'5a. Cooling Model - Local'!B22</f>
        <v>3.7416901358806071E-2</v>
      </c>
      <c r="C24" s="280" t="s">
        <v>635</v>
      </c>
      <c r="D24" s="227"/>
      <c r="E24" s="227"/>
      <c r="F24" s="227"/>
      <c r="G24" s="387" t="s">
        <v>636</v>
      </c>
      <c r="H24" s="387"/>
    </row>
    <row r="25" spans="1:9" ht="16.5" customHeight="1" x14ac:dyDescent="0.15">
      <c r="A25" s="270" t="s">
        <v>637</v>
      </c>
      <c r="B25" s="280">
        <v>0.24</v>
      </c>
      <c r="C25" s="280">
        <f>B25*($B$16/$B$20)^3*$D$20/D16</f>
        <v>0.2344356687898089</v>
      </c>
      <c r="D25" s="227" t="s">
        <v>839</v>
      </c>
      <c r="E25" s="227"/>
      <c r="F25" s="227"/>
      <c r="G25" s="276"/>
    </row>
    <row r="26" spans="1:9" ht="15" customHeight="1" x14ac:dyDescent="0.15">
      <c r="A26" s="270" t="s">
        <v>638</v>
      </c>
      <c r="B26" s="280">
        <v>3.6400000000000002E-2</v>
      </c>
      <c r="C26" s="280">
        <f>B26*($B$18/$B$20)^3*$D$20/D18</f>
        <v>4.2613007633587781E-2</v>
      </c>
      <c r="D26" s="227"/>
      <c r="E26" s="227"/>
      <c r="F26" s="227"/>
      <c r="G26" s="276"/>
    </row>
    <row r="27" spans="1:9" ht="15" customHeight="1" x14ac:dyDescent="0.15">
      <c r="A27" s="270" t="s">
        <v>639</v>
      </c>
      <c r="B27" s="280">
        <v>1.2E-2</v>
      </c>
      <c r="C27" s="280">
        <f>B27*($B$19/$B$20)^3*$D$20/D19</f>
        <v>1.595714817943409E-2</v>
      </c>
      <c r="D27" s="227"/>
      <c r="E27" s="227"/>
      <c r="F27" s="227"/>
      <c r="G27" s="276"/>
    </row>
    <row r="28" spans="1:9" ht="15" customHeight="1" x14ac:dyDescent="0.15"/>
    <row r="29" spans="1:9" ht="19.5" customHeight="1" x14ac:dyDescent="0.15">
      <c r="A29" s="170" t="s">
        <v>640</v>
      </c>
      <c r="B29" s="170"/>
      <c r="C29" s="170"/>
      <c r="D29" s="170"/>
      <c r="E29" s="170"/>
      <c r="F29" s="170"/>
      <c r="G29" s="170"/>
      <c r="H29" s="365" t="s">
        <v>17</v>
      </c>
      <c r="I29" s="365"/>
    </row>
    <row r="30" spans="1:9" ht="21" customHeight="1" x14ac:dyDescent="0.15">
      <c r="A30" s="274" t="s">
        <v>641</v>
      </c>
      <c r="B30" s="226">
        <v>1</v>
      </c>
      <c r="C30" s="275" t="s">
        <v>64</v>
      </c>
      <c r="D30" s="168" t="s">
        <v>642</v>
      </c>
      <c r="F30" s="276"/>
      <c r="G30" s="276"/>
      <c r="H30" s="390" t="s">
        <v>643</v>
      </c>
      <c r="I30" s="390"/>
    </row>
    <row r="31" spans="1:9" ht="18" customHeight="1" x14ac:dyDescent="0.15">
      <c r="A31" s="274" t="s">
        <v>644</v>
      </c>
      <c r="B31" s="281">
        <v>1</v>
      </c>
      <c r="C31" s="275" t="s">
        <v>645</v>
      </c>
      <c r="D31" s="282"/>
      <c r="F31" s="276"/>
      <c r="G31" s="273"/>
      <c r="H31" s="390" t="s">
        <v>646</v>
      </c>
      <c r="I31" s="390"/>
    </row>
    <row r="32" spans="1:9" ht="18" customHeight="1" x14ac:dyDescent="0.15">
      <c r="A32" s="168" t="s">
        <v>653</v>
      </c>
      <c r="B32" s="281">
        <v>0.3</v>
      </c>
      <c r="C32" s="168" t="s">
        <v>64</v>
      </c>
      <c r="D32" s="326" t="s">
        <v>868</v>
      </c>
      <c r="G32" s="201"/>
      <c r="H32" s="339"/>
      <c r="I32" s="339"/>
    </row>
    <row r="33" spans="1:9" ht="24" customHeight="1" x14ac:dyDescent="0.15">
      <c r="A33" s="111" t="s">
        <v>615</v>
      </c>
      <c r="B33" s="111" t="s">
        <v>618</v>
      </c>
      <c r="C33" s="111" t="s">
        <v>647</v>
      </c>
      <c r="D33" s="111" t="s">
        <v>648</v>
      </c>
      <c r="E33" s="111" t="s">
        <v>649</v>
      </c>
      <c r="F33" s="111" t="s">
        <v>835</v>
      </c>
      <c r="G33" s="111" t="s">
        <v>650</v>
      </c>
      <c r="H33" s="111" t="s">
        <v>651</v>
      </c>
      <c r="I33" s="111" t="s">
        <v>652</v>
      </c>
    </row>
    <row r="34" spans="1:9" ht="15" customHeight="1" x14ac:dyDescent="0.15">
      <c r="A34" s="270" t="s">
        <v>620</v>
      </c>
      <c r="B34" s="337">
        <v>0.23599999999999999</v>
      </c>
      <c r="C34" s="272">
        <f>$B$31/B34/$B$30</f>
        <v>4.2372881355932206</v>
      </c>
      <c r="D34" s="283">
        <f>C34*10^6</f>
        <v>4237288.1355932206</v>
      </c>
      <c r="E34" s="284">
        <f>$B$16</f>
        <v>90</v>
      </c>
      <c r="F34" s="271">
        <f>($B$20/E34)^3*D16/$D$20</f>
        <v>1.0237350026082424</v>
      </c>
      <c r="G34" s="276">
        <f>C34*F34</f>
        <v>4.3378601805433998</v>
      </c>
      <c r="H34" s="167">
        <f>G34/$B$32</f>
        <v>14.459533935144666</v>
      </c>
      <c r="I34" s="285">
        <f>H34*10^6</f>
        <v>14459533.935144667</v>
      </c>
    </row>
    <row r="35" spans="1:9" ht="15" customHeight="1" x14ac:dyDescent="0.15">
      <c r="A35" s="270" t="s">
        <v>840</v>
      </c>
      <c r="B35" s="337">
        <f>-E13</f>
        <v>0.42196061026352288</v>
      </c>
      <c r="C35" s="272">
        <f>$B$31/B35/$B$30</f>
        <v>2.3698894533674126</v>
      </c>
      <c r="D35" s="283">
        <f>C35*10^6</f>
        <v>2369889.4533674126</v>
      </c>
      <c r="E35" s="284">
        <f>$B$17</f>
        <v>90</v>
      </c>
      <c r="F35" s="271">
        <f>($B$20/E35)^3*D17/$D$20</f>
        <v>1.0237350026082424</v>
      </c>
      <c r="G35" s="276">
        <f>C35*F35</f>
        <v>2.4261387857243344</v>
      </c>
      <c r="H35" s="167">
        <f>G35/$B$32</f>
        <v>8.0871292857477819</v>
      </c>
      <c r="I35" s="285">
        <f>H35*10^6</f>
        <v>8087129.2857477823</v>
      </c>
    </row>
    <row r="36" spans="1:9" ht="15" customHeight="1" x14ac:dyDescent="0.15">
      <c r="A36" s="270" t="s">
        <v>622</v>
      </c>
      <c r="B36" s="337">
        <v>3.7199999999999997E-2</v>
      </c>
      <c r="C36" s="272">
        <f>$B$31/B36/$B$30</f>
        <v>26.881720430107528</v>
      </c>
      <c r="D36" s="283">
        <f>C36*10^6</f>
        <v>26881720.430107526</v>
      </c>
      <c r="E36" s="284">
        <f>$B$18</f>
        <v>90</v>
      </c>
      <c r="F36" s="271">
        <f>($B$20/E36)^3*D18/$D$20</f>
        <v>0.8541992696922277</v>
      </c>
      <c r="G36" s="276">
        <f>C36*F36</f>
        <v>22.962345959468486</v>
      </c>
      <c r="H36" s="167">
        <f>G36/$B$32</f>
        <v>76.541153198228287</v>
      </c>
      <c r="I36" s="285">
        <f>H36*10^6</f>
        <v>76541153.198228285</v>
      </c>
    </row>
    <row r="37" spans="1:9" ht="15" customHeight="1" x14ac:dyDescent="0.15">
      <c r="A37" s="270" t="s">
        <v>624</v>
      </c>
      <c r="B37" s="337">
        <v>7.5399999999999998E-3</v>
      </c>
      <c r="C37" s="272">
        <f>$B$31/B37/$B$30</f>
        <v>132.62599469496021</v>
      </c>
      <c r="D37" s="283">
        <f>C37*10^6</f>
        <v>132625994.69496021</v>
      </c>
      <c r="E37" s="284">
        <f>$B$19</f>
        <v>172</v>
      </c>
      <c r="F37" s="271">
        <f>($B$20/E37)^3*D19/$D$20</f>
        <v>0.75201407325814351</v>
      </c>
      <c r="G37" s="276">
        <f>C37*F37</f>
        <v>99.736614490469961</v>
      </c>
      <c r="H37" s="167">
        <f>G37/$B$32</f>
        <v>332.45538163489988</v>
      </c>
      <c r="I37" s="285">
        <f>H37*10^6</f>
        <v>332455381.63489985</v>
      </c>
    </row>
    <row r="38" spans="1:9" ht="15" customHeight="1" x14ac:dyDescent="0.15">
      <c r="A38" s="227"/>
      <c r="B38" s="227"/>
      <c r="C38" s="227"/>
      <c r="D38" s="227"/>
      <c r="E38" s="227"/>
      <c r="F38" s="227"/>
    </row>
    <row r="39" spans="1:9" ht="15" customHeight="1" x14ac:dyDescent="0.15">
      <c r="A39" s="168" t="s">
        <v>848</v>
      </c>
      <c r="B39" s="287"/>
      <c r="C39" s="168"/>
      <c r="D39" s="168"/>
      <c r="E39" s="168"/>
      <c r="F39" s="168"/>
      <c r="G39" s="168"/>
      <c r="H39" s="168"/>
      <c r="I39" s="168"/>
    </row>
    <row r="40" spans="1:9" ht="15" customHeight="1" x14ac:dyDescent="0.15">
      <c r="A40" s="168"/>
      <c r="B40" s="168"/>
      <c r="C40" s="168"/>
      <c r="D40" s="168"/>
      <c r="E40" s="168"/>
      <c r="F40" s="168"/>
      <c r="G40" s="168"/>
      <c r="H40" s="168"/>
      <c r="I40" s="168"/>
    </row>
    <row r="41" spans="1:9" ht="15" customHeight="1" x14ac:dyDescent="0.15">
      <c r="A41" s="170" t="s">
        <v>950</v>
      </c>
      <c r="B41" s="288"/>
      <c r="C41" s="289"/>
      <c r="D41" s="289"/>
      <c r="E41" s="168"/>
      <c r="F41" s="168"/>
      <c r="G41" s="168"/>
      <c r="H41" s="168"/>
      <c r="I41" s="168"/>
    </row>
    <row r="42" spans="1:9" ht="15" customHeight="1" x14ac:dyDescent="0.15">
      <c r="A42" s="274" t="s">
        <v>663</v>
      </c>
      <c r="B42" s="336">
        <v>110</v>
      </c>
      <c r="C42" s="275" t="s">
        <v>664</v>
      </c>
      <c r="D42" s="289"/>
      <c r="E42" s="168"/>
      <c r="F42" s="168"/>
      <c r="G42" s="273" t="s">
        <v>665</v>
      </c>
      <c r="H42" s="168"/>
      <c r="I42" s="168"/>
    </row>
    <row r="43" spans="1:9" ht="15" customHeight="1" x14ac:dyDescent="0.15">
      <c r="A43" s="274" t="s">
        <v>951</v>
      </c>
      <c r="B43" s="342">
        <v>0.6</v>
      </c>
      <c r="C43" s="275" t="s">
        <v>668</v>
      </c>
      <c r="D43" s="289"/>
      <c r="E43" s="168"/>
      <c r="F43" s="168"/>
      <c r="G43" s="273" t="s">
        <v>816</v>
      </c>
      <c r="H43" s="168"/>
      <c r="I43" s="168"/>
    </row>
    <row r="44" spans="1:9" ht="15" customHeight="1" x14ac:dyDescent="0.15">
      <c r="A44" s="274" t="s">
        <v>952</v>
      </c>
      <c r="B44" s="342">
        <v>3.3</v>
      </c>
      <c r="C44" s="275" t="s">
        <v>668</v>
      </c>
      <c r="D44" s="168"/>
      <c r="E44" s="168"/>
      <c r="F44" s="168"/>
      <c r="G44" s="273" t="s">
        <v>673</v>
      </c>
      <c r="H44" s="168"/>
      <c r="I44" s="168"/>
    </row>
    <row r="45" spans="1:9" ht="15" customHeight="1" x14ac:dyDescent="0.15">
      <c r="A45" s="274" t="s">
        <v>953</v>
      </c>
      <c r="B45" s="342">
        <v>12</v>
      </c>
      <c r="C45" s="275" t="s">
        <v>668</v>
      </c>
      <c r="D45" s="168"/>
      <c r="E45" s="168"/>
      <c r="F45" s="168"/>
      <c r="G45" s="273" t="s">
        <v>815</v>
      </c>
      <c r="H45" s="168"/>
      <c r="I45" s="168"/>
    </row>
    <row r="46" spans="1:9" ht="15" customHeight="1" x14ac:dyDescent="0.15">
      <c r="A46" s="168"/>
      <c r="B46" s="168"/>
      <c r="C46" s="168"/>
      <c r="D46" s="168"/>
      <c r="E46" s="168"/>
      <c r="F46" s="168"/>
      <c r="G46" s="168"/>
      <c r="H46" s="168"/>
      <c r="I46" s="168"/>
    </row>
    <row r="47" spans="1:9" ht="15" customHeight="1" x14ac:dyDescent="0.15">
      <c r="A47" s="168"/>
      <c r="B47" s="168"/>
      <c r="C47" s="168"/>
      <c r="D47" s="168"/>
      <c r="E47" s="168"/>
      <c r="F47" s="168"/>
      <c r="G47" s="168"/>
      <c r="H47" s="168"/>
      <c r="I47" s="168"/>
    </row>
    <row r="48" spans="1:9" ht="15" customHeight="1" x14ac:dyDescent="0.15">
      <c r="A48" s="168"/>
      <c r="B48" s="168"/>
      <c r="C48" s="168"/>
      <c r="D48" s="168"/>
      <c r="E48" s="168"/>
      <c r="F48" s="168"/>
      <c r="G48" s="168"/>
      <c r="H48" s="168"/>
      <c r="I48" s="168"/>
    </row>
    <row r="49" spans="1:13" ht="15" customHeight="1" x14ac:dyDescent="0.15">
      <c r="A49" s="168"/>
      <c r="B49" s="290"/>
      <c r="C49" s="290"/>
      <c r="D49" s="291"/>
      <c r="E49" s="168"/>
      <c r="F49" s="168"/>
      <c r="G49" s="168"/>
      <c r="H49" s="168"/>
      <c r="I49" s="168"/>
    </row>
    <row r="50" spans="1:13" ht="15" customHeight="1" x14ac:dyDescent="0.15">
      <c r="A50" s="168"/>
      <c r="B50" s="290"/>
      <c r="C50" s="290"/>
      <c r="D50" s="291"/>
      <c r="E50" s="168"/>
      <c r="F50" s="168"/>
      <c r="G50" s="168"/>
      <c r="H50" s="168"/>
      <c r="I50" s="168"/>
    </row>
    <row r="51" spans="1:13" ht="15" customHeight="1" x14ac:dyDescent="0.15">
      <c r="A51" s="168"/>
      <c r="B51" s="290"/>
      <c r="C51" s="290"/>
      <c r="D51" s="291"/>
      <c r="E51" s="168"/>
      <c r="F51" s="168"/>
      <c r="G51" s="168"/>
      <c r="H51" s="168"/>
      <c r="I51" s="168"/>
    </row>
    <row r="52" spans="1:13" ht="15" customHeight="1" x14ac:dyDescent="0.15">
      <c r="A52" s="168"/>
      <c r="B52" s="168"/>
      <c r="C52" s="168"/>
      <c r="D52" s="168"/>
      <c r="E52" s="168"/>
      <c r="F52" s="168"/>
      <c r="G52" s="168"/>
      <c r="H52" s="168"/>
      <c r="I52" s="168"/>
    </row>
    <row r="53" spans="1:13" ht="15" customHeight="1" x14ac:dyDescent="0.15"/>
    <row r="54" spans="1:13" ht="15" customHeight="1" x14ac:dyDescent="0.15">
      <c r="A54" s="168"/>
      <c r="B54" s="168"/>
      <c r="C54" s="168"/>
      <c r="D54" s="168"/>
      <c r="E54" s="168"/>
      <c r="F54" s="168"/>
      <c r="G54" s="168"/>
      <c r="H54" s="168"/>
      <c r="I54" s="168"/>
      <c r="J54" s="168"/>
      <c r="K54" s="168"/>
      <c r="L54" s="168"/>
      <c r="M54" s="168"/>
    </row>
    <row r="55" spans="1:13" ht="15" customHeight="1" x14ac:dyDescent="0.15">
      <c r="A55" s="168"/>
      <c r="B55" s="168"/>
      <c r="C55" s="168"/>
      <c r="D55" s="168"/>
      <c r="E55" s="168"/>
      <c r="F55" s="168"/>
      <c r="G55" s="168"/>
      <c r="H55" s="168"/>
      <c r="I55" s="168"/>
      <c r="J55" s="168"/>
      <c r="K55" s="168"/>
      <c r="L55" s="168"/>
      <c r="M55" s="168"/>
    </row>
    <row r="56" spans="1:13" ht="15" customHeight="1" x14ac:dyDescent="0.15">
      <c r="A56" s="168"/>
      <c r="B56" s="292"/>
      <c r="C56" s="292"/>
      <c r="D56" s="168"/>
      <c r="E56" s="168"/>
      <c r="F56" s="168"/>
      <c r="G56" s="168"/>
      <c r="H56" s="168"/>
      <c r="I56" s="168"/>
      <c r="J56" s="168"/>
      <c r="K56" s="168"/>
      <c r="L56" s="168"/>
      <c r="M56" s="168"/>
    </row>
    <row r="57" spans="1:13" ht="15" customHeight="1" x14ac:dyDescent="0.15">
      <c r="A57" s="168"/>
      <c r="B57" s="292"/>
      <c r="C57" s="292"/>
      <c r="D57" s="168"/>
      <c r="E57" s="168"/>
      <c r="F57" s="168"/>
      <c r="G57" s="168"/>
      <c r="H57" s="168"/>
      <c r="I57" s="168"/>
      <c r="J57" s="168"/>
      <c r="K57" s="168"/>
      <c r="L57" s="168"/>
      <c r="M57" s="168"/>
    </row>
    <row r="58" spans="1:13" ht="15" customHeight="1" x14ac:dyDescent="0.15">
      <c r="A58" s="168"/>
      <c r="B58" s="292"/>
      <c r="C58" s="292"/>
      <c r="D58" s="168"/>
      <c r="E58" s="168"/>
      <c r="F58" s="168"/>
      <c r="G58" s="168"/>
      <c r="H58" s="168"/>
      <c r="I58" s="168"/>
      <c r="J58" s="168"/>
      <c r="K58" s="168"/>
      <c r="L58" s="168"/>
      <c r="M58" s="168"/>
    </row>
    <row r="59" spans="1:13" ht="15" customHeight="1" x14ac:dyDescent="0.15">
      <c r="A59" s="168"/>
      <c r="B59" s="292"/>
      <c r="C59" s="292"/>
      <c r="D59" s="168"/>
      <c r="E59" s="168"/>
      <c r="F59" s="168"/>
      <c r="G59" s="168"/>
      <c r="H59" s="168"/>
      <c r="I59" s="168"/>
      <c r="J59" s="168"/>
      <c r="K59" s="168"/>
      <c r="L59" s="168"/>
      <c r="M59" s="168"/>
    </row>
    <row r="60" spans="1:13" ht="15" customHeight="1" x14ac:dyDescent="0.15">
      <c r="A60" s="168"/>
      <c r="B60" s="292"/>
      <c r="C60" s="292"/>
      <c r="D60" s="168"/>
      <c r="E60" s="168"/>
      <c r="F60" s="168"/>
      <c r="G60" s="168"/>
      <c r="H60" s="168"/>
      <c r="I60" s="168"/>
      <c r="J60" s="168"/>
      <c r="K60" s="168"/>
      <c r="L60" s="168"/>
      <c r="M60" s="168"/>
    </row>
    <row r="61" spans="1:13" ht="15" customHeight="1" x14ac:dyDescent="0.15">
      <c r="A61" s="168"/>
      <c r="B61" s="292"/>
      <c r="C61" s="292"/>
      <c r="D61" s="168"/>
      <c r="E61" s="168"/>
      <c r="F61" s="168"/>
      <c r="G61" s="168"/>
      <c r="H61" s="168"/>
      <c r="I61" s="168"/>
      <c r="J61" s="168"/>
      <c r="K61" s="168"/>
      <c r="L61" s="168"/>
      <c r="M61" s="168"/>
    </row>
    <row r="62" spans="1:13" ht="15" customHeight="1" x14ac:dyDescent="0.15">
      <c r="A62" s="168"/>
      <c r="B62" s="292"/>
      <c r="C62" s="292"/>
      <c r="D62" s="168"/>
      <c r="E62" s="168"/>
      <c r="F62" s="168"/>
      <c r="G62" s="168"/>
      <c r="H62" s="168"/>
      <c r="I62" s="168"/>
      <c r="J62" s="168"/>
      <c r="K62" s="168"/>
      <c r="L62" s="168"/>
      <c r="M62" s="168"/>
    </row>
    <row r="63" spans="1:13" ht="15" customHeight="1" x14ac:dyDescent="0.15">
      <c r="A63" s="168"/>
      <c r="B63" s="292"/>
      <c r="C63" s="292"/>
      <c r="D63" s="168"/>
      <c r="E63" s="168"/>
      <c r="F63" s="168"/>
      <c r="G63" s="168"/>
      <c r="H63" s="168"/>
      <c r="I63" s="168"/>
      <c r="J63" s="168"/>
      <c r="K63" s="168"/>
      <c r="L63" s="168"/>
      <c r="M63" s="168"/>
    </row>
    <row r="64" spans="1:13" ht="15" customHeight="1" x14ac:dyDescent="0.15">
      <c r="A64" s="168"/>
      <c r="B64" s="292"/>
      <c r="C64" s="292"/>
      <c r="D64" s="168"/>
      <c r="E64" s="168"/>
      <c r="F64" s="168"/>
      <c r="G64" s="168"/>
      <c r="H64" s="168"/>
      <c r="I64" s="168"/>
      <c r="J64" s="168"/>
      <c r="K64" s="168"/>
      <c r="L64" s="168"/>
      <c r="M64" s="168"/>
    </row>
    <row r="65" spans="1:13" ht="15" customHeight="1" x14ac:dyDescent="0.15">
      <c r="A65" s="168"/>
      <c r="B65" s="292"/>
      <c r="C65" s="292"/>
      <c r="D65" s="168"/>
      <c r="E65" s="168"/>
      <c r="F65" s="168"/>
      <c r="G65" s="168"/>
      <c r="H65" s="168"/>
      <c r="I65" s="168"/>
      <c r="J65" s="168"/>
      <c r="K65" s="168"/>
      <c r="L65" s="168"/>
      <c r="M65" s="168"/>
    </row>
    <row r="67" spans="1:13" ht="15" customHeight="1" x14ac:dyDescent="0.15">
      <c r="A67" s="389"/>
      <c r="B67" s="389"/>
      <c r="C67" s="389"/>
      <c r="D67" s="389"/>
      <c r="E67" s="389"/>
      <c r="F67" s="389"/>
      <c r="G67" s="389"/>
    </row>
    <row r="68" spans="1:13" ht="15" customHeight="1" x14ac:dyDescent="0.15">
      <c r="A68" s="293"/>
    </row>
    <row r="69" spans="1:13" ht="15" customHeight="1" x14ac:dyDescent="0.15">
      <c r="A69" s="294"/>
      <c r="B69" s="295"/>
      <c r="C69" s="296"/>
      <c r="D69" s="296"/>
      <c r="E69" s="297"/>
    </row>
    <row r="70" spans="1:13" ht="15" customHeight="1" x14ac:dyDescent="0.15">
      <c r="A70" s="294"/>
      <c r="B70" s="295"/>
      <c r="C70" s="296"/>
      <c r="D70" s="296"/>
      <c r="E70" s="297"/>
    </row>
    <row r="71" spans="1:13" ht="15" customHeight="1" x14ac:dyDescent="0.15">
      <c r="A71" s="294"/>
      <c r="B71" s="295"/>
      <c r="C71" s="296"/>
      <c r="D71" s="296"/>
      <c r="E71" s="297"/>
    </row>
    <row r="72" spans="1:13" ht="15" customHeight="1" x14ac:dyDescent="0.15">
      <c r="A72" s="294"/>
      <c r="B72" s="295"/>
      <c r="C72" s="298"/>
      <c r="E72" s="299"/>
    </row>
    <row r="73" spans="1:13" ht="15" customHeight="1" x14ac:dyDescent="0.15">
      <c r="A73" s="294"/>
      <c r="B73" s="295"/>
      <c r="C73" s="298"/>
      <c r="E73" s="299"/>
    </row>
    <row r="74" spans="1:13" ht="15" customHeight="1" x14ac:dyDescent="0.15">
      <c r="A74" s="294"/>
      <c r="B74" s="295"/>
      <c r="C74" s="298"/>
      <c r="E74" s="299"/>
    </row>
    <row r="75" spans="1:13" ht="15" customHeight="1" x14ac:dyDescent="0.15">
      <c r="A75" s="293"/>
      <c r="B75" s="300"/>
      <c r="C75" s="301"/>
      <c r="D75" s="301"/>
      <c r="E75" s="301"/>
      <c r="F75" s="301"/>
      <c r="G75" s="301"/>
    </row>
    <row r="76" spans="1:13" ht="15" customHeight="1" x14ac:dyDescent="0.15">
      <c r="A76" s="294"/>
      <c r="B76" s="295"/>
      <c r="C76" s="295"/>
      <c r="D76" s="302"/>
      <c r="E76" s="302"/>
      <c r="F76" s="303"/>
      <c r="G76" s="302"/>
    </row>
    <row r="77" spans="1:13" ht="15" customHeight="1" x14ac:dyDescent="0.15">
      <c r="A77" s="294"/>
      <c r="B77" s="295"/>
      <c r="C77" s="295"/>
      <c r="D77" s="302"/>
      <c r="E77" s="302"/>
      <c r="F77" s="302"/>
      <c r="G77" s="302"/>
    </row>
    <row r="78" spans="1:13" ht="15" customHeight="1" x14ac:dyDescent="0.15">
      <c r="A78" s="294"/>
      <c r="B78" s="295"/>
      <c r="C78" s="295"/>
      <c r="D78" s="302"/>
      <c r="E78" s="302"/>
      <c r="F78" s="302"/>
      <c r="G78" s="302"/>
    </row>
    <row r="79" spans="1:13" ht="15" customHeight="1" x14ac:dyDescent="0.15">
      <c r="A79" s="294"/>
      <c r="B79" s="295"/>
      <c r="C79" s="295"/>
      <c r="D79" s="302"/>
      <c r="E79" s="302"/>
      <c r="F79" s="302"/>
    </row>
    <row r="80" spans="1:13" ht="15" customHeight="1" x14ac:dyDescent="0.15">
      <c r="A80" s="203"/>
    </row>
    <row r="81" spans="1:1" ht="15" customHeight="1" x14ac:dyDescent="0.15">
      <c r="A81" s="203"/>
    </row>
    <row r="82" spans="1:1" ht="15" customHeight="1" x14ac:dyDescent="0.15">
      <c r="A82" s="203"/>
    </row>
  </sheetData>
  <mergeCells count="23">
    <mergeCell ref="A67:G67"/>
    <mergeCell ref="H29:I29"/>
    <mergeCell ref="H30:I30"/>
    <mergeCell ref="H31:I31"/>
    <mergeCell ref="G19:H19"/>
    <mergeCell ref="G20:H20"/>
    <mergeCell ref="A22:G22"/>
    <mergeCell ref="A23:G23"/>
    <mergeCell ref="G24:H24"/>
    <mergeCell ref="G18:H18"/>
    <mergeCell ref="G13:H13"/>
    <mergeCell ref="G17:H17"/>
    <mergeCell ref="A1:G1"/>
    <mergeCell ref="A2:G2"/>
    <mergeCell ref="A4:G4"/>
    <mergeCell ref="A5:G5"/>
    <mergeCell ref="G7:H7"/>
    <mergeCell ref="A3:G3"/>
    <mergeCell ref="G9:H9"/>
    <mergeCell ref="G10:H10"/>
    <mergeCell ref="A14:G14"/>
    <mergeCell ref="A15:G15"/>
    <mergeCell ref="G16:H16"/>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3"/>
  <sheetViews>
    <sheetView zoomScale="119" zoomScaleNormal="230" zoomScalePageLayoutView="60" workbookViewId="0">
      <selection activeCell="B30" sqref="B30"/>
    </sheetView>
  </sheetViews>
  <sheetFormatPr baseColWidth="10" defaultColWidth="8.83203125" defaultRowHeight="14" x14ac:dyDescent="0.15"/>
  <cols>
    <col min="1" max="1" width="38" style="167" customWidth="1"/>
    <col min="2" max="2" width="18.83203125" style="167" customWidth="1"/>
    <col min="3" max="3" width="19.83203125" style="167" customWidth="1"/>
    <col min="4" max="4" width="31" style="167" customWidth="1"/>
    <col min="5" max="5" width="20" style="167" customWidth="1"/>
    <col min="6" max="6" width="25.5" style="167" customWidth="1"/>
    <col min="7" max="7" width="46" style="167" customWidth="1"/>
    <col min="8" max="8" width="10" style="167" customWidth="1"/>
    <col min="9" max="16384" width="8.83203125" style="167"/>
  </cols>
  <sheetData>
    <row r="1" spans="1:7" ht="15.75" customHeight="1" x14ac:dyDescent="0.2">
      <c r="A1" s="391" t="s">
        <v>654</v>
      </c>
      <c r="B1" s="391"/>
      <c r="C1" s="391"/>
      <c r="D1" s="391"/>
      <c r="E1" s="391"/>
      <c r="F1" s="391"/>
      <c r="G1" s="391"/>
    </row>
    <row r="2" spans="1:7" ht="30" customHeight="1" x14ac:dyDescent="0.15">
      <c r="A2" s="363" t="s">
        <v>655</v>
      </c>
      <c r="B2" s="363"/>
      <c r="C2" s="363"/>
      <c r="D2" s="363"/>
      <c r="E2" s="363"/>
      <c r="F2" s="363"/>
      <c r="G2" s="363"/>
    </row>
    <row r="4" spans="1:7" ht="15" customHeight="1" x14ac:dyDescent="0.15">
      <c r="A4" s="392" t="s">
        <v>656</v>
      </c>
      <c r="B4" s="392"/>
      <c r="C4" s="392"/>
      <c r="D4" s="392"/>
      <c r="E4" s="392"/>
      <c r="F4" s="392"/>
      <c r="G4" s="392"/>
    </row>
    <row r="5" spans="1:7" ht="15" customHeight="1" x14ac:dyDescent="0.15">
      <c r="A5" s="304" t="s">
        <v>644</v>
      </c>
      <c r="B5" s="305">
        <f>'6a. Cooling Model - Global'!B31</f>
        <v>1</v>
      </c>
      <c r="C5" s="304" t="s">
        <v>645</v>
      </c>
    </row>
    <row r="6" spans="1:7" ht="15" customHeight="1" x14ac:dyDescent="0.15">
      <c r="A6" s="304" t="s">
        <v>657</v>
      </c>
      <c r="B6" s="306">
        <f>'3a. Outputs - Dedicated Vessel'!G5</f>
        <v>54047.97862812745</v>
      </c>
      <c r="C6" s="304" t="s">
        <v>367</v>
      </c>
    </row>
    <row r="7" spans="1:7" ht="24" customHeight="1" x14ac:dyDescent="0.15">
      <c r="A7" s="363" t="s">
        <v>658</v>
      </c>
      <c r="B7" s="363"/>
      <c r="C7" s="363"/>
      <c r="D7" s="363"/>
      <c r="E7" s="363"/>
      <c r="F7" s="363"/>
      <c r="G7" s="363"/>
    </row>
    <row r="9" spans="1:7" ht="15" customHeight="1" x14ac:dyDescent="0.15">
      <c r="A9" s="234" t="s">
        <v>615</v>
      </c>
      <c r="B9" s="234" t="s">
        <v>618</v>
      </c>
      <c r="C9" s="307" t="s">
        <v>659</v>
      </c>
      <c r="D9" s="307" t="s">
        <v>660</v>
      </c>
      <c r="E9" s="234" t="s">
        <v>152</v>
      </c>
    </row>
    <row r="10" spans="1:7" ht="15" customHeight="1" x14ac:dyDescent="0.15">
      <c r="A10" s="304" t="s">
        <v>620</v>
      </c>
      <c r="B10" s="340">
        <f>'6a. Cooling Model - Global'!B34</f>
        <v>0.23599999999999999</v>
      </c>
      <c r="C10" s="309">
        <f>'6a. Cooling Model - Global'!G34</f>
        <v>4.3378601805433998</v>
      </c>
      <c r="D10" s="310">
        <f>'6a. Cooling Model - Global'!I34</f>
        <v>14459533.935144667</v>
      </c>
      <c r="E10" s="311">
        <f>D10*$B$6</f>
        <v>781508581099.38257</v>
      </c>
      <c r="F10" s="312"/>
    </row>
    <row r="11" spans="1:7" ht="15" customHeight="1" x14ac:dyDescent="0.15">
      <c r="A11" s="304" t="s">
        <v>840</v>
      </c>
      <c r="B11" s="340">
        <f>'6a. Cooling Model - Global'!B35</f>
        <v>0.42196061026352288</v>
      </c>
      <c r="C11" s="309">
        <f>'6a. Cooling Model - Global'!G35</f>
        <v>2.4261387857243344</v>
      </c>
      <c r="D11" s="310">
        <f>'6a. Cooling Model - Global'!I35</f>
        <v>8087129.2857477823</v>
      </c>
      <c r="E11" s="311">
        <f>D11*$B$6</f>
        <v>437092990798.99976</v>
      </c>
      <c r="F11" s="312"/>
    </row>
    <row r="12" spans="1:7" ht="15" customHeight="1" x14ac:dyDescent="0.15">
      <c r="A12" s="304" t="s">
        <v>622</v>
      </c>
      <c r="B12" s="340">
        <f>'6a. Cooling Model - Global'!B36</f>
        <v>3.7199999999999997E-2</v>
      </c>
      <c r="C12" s="309">
        <f>'6a. Cooling Model - Global'!G36</f>
        <v>22.962345959468486</v>
      </c>
      <c r="D12" s="310">
        <f>'6a. Cooling Model - Global'!I36</f>
        <v>76541153.198228285</v>
      </c>
      <c r="E12" s="311">
        <f>D12*$B$6</f>
        <v>4136894612230.0713</v>
      </c>
    </row>
    <row r="13" spans="1:7" ht="15" customHeight="1" x14ac:dyDescent="0.15">
      <c r="A13" s="304" t="s">
        <v>624</v>
      </c>
      <c r="B13" s="340">
        <f>'6a. Cooling Model - Global'!B37</f>
        <v>7.5399999999999998E-3</v>
      </c>
      <c r="C13" s="309">
        <f>'6a. Cooling Model - Global'!G37</f>
        <v>99.736614490469961</v>
      </c>
      <c r="D13" s="310">
        <f>'6a. Cooling Model - Global'!I37</f>
        <v>332455381.63489985</v>
      </c>
      <c r="E13" s="311">
        <f>D13*$B$6</f>
        <v>17968541361409.023</v>
      </c>
    </row>
    <row r="14" spans="1:7" ht="15" customHeight="1" x14ac:dyDescent="0.15">
      <c r="A14" s="392" t="s">
        <v>661</v>
      </c>
      <c r="B14" s="392"/>
      <c r="C14" s="392"/>
      <c r="D14" s="392"/>
      <c r="E14" s="392"/>
      <c r="F14" s="392"/>
      <c r="G14" s="392"/>
    </row>
    <row r="15" spans="1:7" ht="29" customHeight="1" x14ac:dyDescent="0.15">
      <c r="A15" s="363" t="s">
        <v>662</v>
      </c>
      <c r="B15" s="363"/>
      <c r="C15" s="363"/>
      <c r="D15" s="363"/>
      <c r="E15" s="363"/>
      <c r="F15" s="363"/>
      <c r="G15" s="363"/>
    </row>
    <row r="16" spans="1:7" ht="41.5" customHeight="1" x14ac:dyDescent="0.15">
      <c r="A16" s="304" t="s">
        <v>663</v>
      </c>
      <c r="B16" s="310">
        <f>'6a. Cooling Model - Global'!$B$42</f>
        <v>110</v>
      </c>
      <c r="C16" s="304" t="s">
        <v>664</v>
      </c>
      <c r="E16" s="193" t="s">
        <v>954</v>
      </c>
    </row>
    <row r="17" spans="1:8" ht="15" customHeight="1" x14ac:dyDescent="0.15">
      <c r="A17" s="304" t="s">
        <v>666</v>
      </c>
      <c r="B17" s="305">
        <f>B5</f>
        <v>1</v>
      </c>
      <c r="C17" s="304" t="s">
        <v>645</v>
      </c>
    </row>
    <row r="19" spans="1:8" ht="15" customHeight="1" x14ac:dyDescent="0.15">
      <c r="A19" s="234" t="s">
        <v>667</v>
      </c>
      <c r="B19" s="234" t="s">
        <v>668</v>
      </c>
      <c r="C19" s="234" t="s">
        <v>669</v>
      </c>
      <c r="D19" s="234" t="s">
        <v>670</v>
      </c>
      <c r="E19" s="234" t="s">
        <v>415</v>
      </c>
    </row>
    <row r="20" spans="1:8" ht="29" customHeight="1" x14ac:dyDescent="0.15">
      <c r="A20" s="304" t="s">
        <v>671</v>
      </c>
      <c r="B20" s="341">
        <f>'6a. Cooling Model - Global'!$B$43</f>
        <v>0.6</v>
      </c>
      <c r="C20" s="313">
        <f>B16*1000*B20/100</f>
        <v>660</v>
      </c>
      <c r="D20" s="313">
        <f>C20*B17</f>
        <v>660</v>
      </c>
      <c r="E20" s="363" t="s">
        <v>955</v>
      </c>
      <c r="F20" s="363"/>
      <c r="G20" s="363"/>
      <c r="H20" s="363"/>
    </row>
    <row r="21" spans="1:8" ht="41.5" customHeight="1" x14ac:dyDescent="0.15">
      <c r="A21" s="304" t="s">
        <v>672</v>
      </c>
      <c r="B21" s="341">
        <f>'6a. Cooling Model - Global'!$B$44</f>
        <v>3.3</v>
      </c>
      <c r="C21" s="313">
        <f>B16*1000*B21/100</f>
        <v>3630</v>
      </c>
      <c r="D21" s="313">
        <f>C21*B17</f>
        <v>3630</v>
      </c>
      <c r="E21" s="363" t="s">
        <v>956</v>
      </c>
      <c r="F21" s="363"/>
      <c r="G21" s="363"/>
      <c r="H21" s="363"/>
    </row>
    <row r="22" spans="1:8" ht="29" customHeight="1" x14ac:dyDescent="0.15">
      <c r="A22" s="304" t="s">
        <v>674</v>
      </c>
      <c r="B22" s="341">
        <f>'6a. Cooling Model - Global'!$B$45</f>
        <v>12</v>
      </c>
      <c r="C22" s="313">
        <f>B16*1000*B22/100</f>
        <v>13200</v>
      </c>
      <c r="D22" s="313">
        <f>C22*B17</f>
        <v>13200</v>
      </c>
      <c r="E22" s="363" t="s">
        <v>957</v>
      </c>
      <c r="F22" s="363"/>
      <c r="G22" s="363"/>
      <c r="H22" s="363"/>
    </row>
    <row r="23" spans="1:8" ht="39.75" customHeight="1" x14ac:dyDescent="0.15">
      <c r="A23" s="363" t="s">
        <v>675</v>
      </c>
      <c r="B23" s="363"/>
      <c r="C23" s="363"/>
      <c r="D23" s="363"/>
      <c r="E23" s="363"/>
      <c r="F23" s="363"/>
      <c r="G23" s="363"/>
    </row>
    <row r="25" spans="1:8" ht="15" customHeight="1" x14ac:dyDescent="0.15">
      <c r="A25" s="392" t="s">
        <v>676</v>
      </c>
      <c r="B25" s="392"/>
      <c r="C25" s="392"/>
      <c r="D25" s="392"/>
      <c r="E25" s="392"/>
      <c r="F25" s="392"/>
      <c r="G25" s="392"/>
    </row>
    <row r="26" spans="1:8" ht="15" customHeight="1" x14ac:dyDescent="0.15">
      <c r="A26" s="363" t="s">
        <v>677</v>
      </c>
      <c r="B26" s="363"/>
      <c r="C26" s="363"/>
      <c r="D26" s="363"/>
      <c r="E26" s="363"/>
      <c r="F26" s="363"/>
      <c r="G26" s="363"/>
    </row>
    <row r="28" spans="1:8" ht="15" customHeight="1" x14ac:dyDescent="0.15">
      <c r="A28" s="234" t="s">
        <v>678</v>
      </c>
      <c r="B28" s="234" t="s">
        <v>679</v>
      </c>
      <c r="C28" s="234" t="s">
        <v>680</v>
      </c>
      <c r="D28" s="234" t="s">
        <v>681</v>
      </c>
    </row>
    <row r="29" spans="1:8" ht="15" customHeight="1" x14ac:dyDescent="0.15">
      <c r="A29" s="304" t="s">
        <v>682</v>
      </c>
      <c r="B29" s="311">
        <f>E10</f>
        <v>781508581099.38257</v>
      </c>
      <c r="C29" s="311">
        <f>$D$21*10^9</f>
        <v>3630000000000</v>
      </c>
      <c r="D29" s="314">
        <f>C29/B29</f>
        <v>4.6448626256841852</v>
      </c>
    </row>
    <row r="30" spans="1:8" ht="15" customHeight="1" x14ac:dyDescent="0.15">
      <c r="A30" s="304" t="s">
        <v>843</v>
      </c>
      <c r="B30" s="311">
        <f>E11</f>
        <v>437092990798.99976</v>
      </c>
      <c r="C30" s="311">
        <f>$D$21*10^9</f>
        <v>3630000000000</v>
      </c>
      <c r="D30" s="314">
        <f>C30/B30</f>
        <v>8.3048689327285068</v>
      </c>
    </row>
    <row r="31" spans="1:8" ht="15" customHeight="1" x14ac:dyDescent="0.15">
      <c r="A31" s="304" t="s">
        <v>683</v>
      </c>
      <c r="B31" s="311">
        <f>E12</f>
        <v>4136894612230.0713</v>
      </c>
      <c r="C31" s="311">
        <f>$D$21*10^9</f>
        <v>3630000000000</v>
      </c>
      <c r="D31" s="314">
        <f>C31/B31</f>
        <v>0.87746977872447662</v>
      </c>
    </row>
    <row r="32" spans="1:8" ht="15" customHeight="1" x14ac:dyDescent="0.15">
      <c r="A32" s="304" t="s">
        <v>684</v>
      </c>
      <c r="B32" s="311">
        <f>E13</f>
        <v>17968541361409.023</v>
      </c>
      <c r="C32" s="311">
        <f>$D$21*10^9</f>
        <v>3630000000000</v>
      </c>
      <c r="D32" s="314">
        <f>C32/B32</f>
        <v>0.20201973699413014</v>
      </c>
    </row>
    <row r="33" spans="1:7" ht="27.75" customHeight="1" x14ac:dyDescent="0.15">
      <c r="A33" s="363" t="s">
        <v>958</v>
      </c>
      <c r="B33" s="363"/>
      <c r="C33" s="363"/>
      <c r="D33" s="363"/>
      <c r="E33" s="363"/>
      <c r="F33" s="363"/>
      <c r="G33" s="363"/>
    </row>
  </sheetData>
  <mergeCells count="13">
    <mergeCell ref="A25:G25"/>
    <mergeCell ref="A26:G26"/>
    <mergeCell ref="A33:G33"/>
    <mergeCell ref="A15:G15"/>
    <mergeCell ref="E20:H20"/>
    <mergeCell ref="E21:H21"/>
    <mergeCell ref="E22:H22"/>
    <mergeCell ref="A23:G23"/>
    <mergeCell ref="A1:G1"/>
    <mergeCell ref="A2:G2"/>
    <mergeCell ref="A4:G4"/>
    <mergeCell ref="A7:G7"/>
    <mergeCell ref="A14:G14"/>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67"/>
  <sheetViews>
    <sheetView topLeftCell="A24" zoomScaleNormal="100" zoomScalePageLayoutView="60" workbookViewId="0">
      <selection activeCell="E54" sqref="E54"/>
    </sheetView>
  </sheetViews>
  <sheetFormatPr baseColWidth="10" defaultColWidth="8.83203125" defaultRowHeight="14" x14ac:dyDescent="0.15"/>
  <cols>
    <col min="1" max="1" width="42" style="167" customWidth="1"/>
    <col min="2" max="2" width="20.33203125" style="167" customWidth="1"/>
    <col min="3" max="3" width="24.6640625" style="167" customWidth="1"/>
    <col min="4" max="4" width="26" style="167" customWidth="1"/>
    <col min="5" max="5" width="24" style="167" customWidth="1"/>
    <col min="6" max="6" width="22" style="167" customWidth="1"/>
    <col min="7" max="7" width="18" style="167" customWidth="1"/>
    <col min="8" max="8" width="10" style="167" customWidth="1"/>
    <col min="9" max="16384" width="8.83203125" style="167"/>
  </cols>
  <sheetData>
    <row r="1" spans="1:8" ht="15.75" customHeight="1" x14ac:dyDescent="0.2">
      <c r="A1" s="391" t="s">
        <v>685</v>
      </c>
      <c r="B1" s="391"/>
      <c r="C1" s="391"/>
      <c r="D1" s="391"/>
      <c r="E1" s="391"/>
      <c r="F1" s="391"/>
      <c r="G1" s="391"/>
      <c r="H1" s="168"/>
    </row>
    <row r="2" spans="1:8" ht="27.75" customHeight="1" x14ac:dyDescent="0.15">
      <c r="A2" s="363" t="s">
        <v>959</v>
      </c>
      <c r="B2" s="363"/>
      <c r="C2" s="363"/>
      <c r="D2" s="363"/>
      <c r="E2" s="363"/>
      <c r="F2" s="363"/>
      <c r="G2" s="363"/>
      <c r="H2" s="168"/>
    </row>
    <row r="3" spans="1:8" ht="15" customHeight="1" x14ac:dyDescent="0.15">
      <c r="A3" s="168"/>
      <c r="B3" s="168"/>
      <c r="C3" s="168"/>
      <c r="D3" s="168"/>
      <c r="E3" s="168"/>
      <c r="F3" s="168"/>
      <c r="G3" s="168"/>
      <c r="H3" s="168"/>
    </row>
    <row r="4" spans="1:8" ht="15" customHeight="1" x14ac:dyDescent="0.15">
      <c r="A4" s="393" t="s">
        <v>686</v>
      </c>
      <c r="B4" s="393"/>
      <c r="C4" s="393"/>
      <c r="D4" s="393"/>
      <c r="E4" s="393"/>
      <c r="F4" s="393"/>
      <c r="G4" s="393"/>
      <c r="H4" s="168"/>
    </row>
    <row r="5" spans="1:8" ht="15" customHeight="1" x14ac:dyDescent="0.15">
      <c r="A5" s="304" t="s">
        <v>644</v>
      </c>
      <c r="B5" s="305">
        <f>'6a. Cooling Model - Global'!B31</f>
        <v>1</v>
      </c>
      <c r="C5" s="304" t="s">
        <v>645</v>
      </c>
      <c r="D5" s="168"/>
      <c r="E5" s="168"/>
      <c r="F5" s="168"/>
      <c r="G5" s="168"/>
      <c r="H5" s="168"/>
    </row>
    <row r="6" spans="1:8" ht="25.5" customHeight="1" x14ac:dyDescent="0.15">
      <c r="A6" s="294" t="s">
        <v>960</v>
      </c>
      <c r="B6" s="317">
        <f>'3b. Outputs - Ship Piggyback'!C32</f>
        <v>21674.005077715345</v>
      </c>
      <c r="C6" s="318" t="s">
        <v>367</v>
      </c>
      <c r="D6" s="394" t="s">
        <v>961</v>
      </c>
      <c r="E6" s="394"/>
      <c r="F6" s="394"/>
      <c r="G6" s="168"/>
      <c r="H6" s="168"/>
    </row>
    <row r="7" spans="1:8" ht="27.75" customHeight="1" x14ac:dyDescent="0.15">
      <c r="A7" s="294"/>
      <c r="B7" s="317"/>
      <c r="C7" s="318"/>
      <c r="D7" s="394"/>
      <c r="E7" s="394"/>
      <c r="F7" s="394"/>
      <c r="G7" s="168"/>
      <c r="H7" s="168"/>
    </row>
    <row r="8" spans="1:8" ht="39" customHeight="1" x14ac:dyDescent="0.15">
      <c r="A8" s="294"/>
      <c r="B8" s="317"/>
      <c r="C8" s="318"/>
      <c r="D8" s="394"/>
      <c r="E8" s="394"/>
      <c r="F8" s="394"/>
      <c r="G8" s="168"/>
      <c r="H8" s="168"/>
    </row>
    <row r="9" spans="1:8" ht="25.5" customHeight="1" x14ac:dyDescent="0.15">
      <c r="A9" s="294"/>
      <c r="B9" s="317"/>
      <c r="C9" s="318"/>
      <c r="D9" s="394"/>
      <c r="E9" s="394"/>
      <c r="F9" s="394"/>
      <c r="G9" s="168"/>
      <c r="H9" s="168"/>
    </row>
    <row r="10" spans="1:8" ht="25.5" customHeight="1" x14ac:dyDescent="0.15">
      <c r="A10" s="294"/>
      <c r="B10" s="317"/>
      <c r="C10" s="318"/>
      <c r="D10" s="394"/>
      <c r="E10" s="394"/>
      <c r="F10" s="394"/>
      <c r="G10" s="168"/>
      <c r="H10" s="168"/>
    </row>
    <row r="11" spans="1:8" ht="29" customHeight="1" x14ac:dyDescent="0.15">
      <c r="A11" s="294"/>
      <c r="B11" s="317"/>
      <c r="C11" s="318"/>
      <c r="D11" s="394"/>
      <c r="E11" s="394"/>
      <c r="F11" s="394"/>
      <c r="G11" s="168"/>
      <c r="H11" s="168"/>
    </row>
    <row r="12" spans="1:8" ht="39" customHeight="1" x14ac:dyDescent="0.15">
      <c r="A12" s="294"/>
      <c r="B12" s="317"/>
      <c r="C12" s="318"/>
      <c r="D12" s="394"/>
      <c r="E12" s="394"/>
      <c r="F12" s="394"/>
      <c r="G12" s="168"/>
      <c r="H12" s="168"/>
    </row>
    <row r="13" spans="1:8" ht="15" customHeight="1" x14ac:dyDescent="0.2">
      <c r="A13" s="294"/>
      <c r="B13" s="317"/>
      <c r="C13" s="318"/>
      <c r="D13" s="203"/>
      <c r="E13"/>
      <c r="F13" s="168"/>
      <c r="G13" s="168"/>
      <c r="H13" s="168"/>
    </row>
    <row r="14" spans="1:8" ht="25.5" customHeight="1" x14ac:dyDescent="0.15">
      <c r="A14" s="294"/>
      <c r="B14" s="319"/>
      <c r="C14" s="318"/>
      <c r="D14" s="394"/>
      <c r="E14" s="394"/>
      <c r="F14" s="394"/>
      <c r="G14" s="168"/>
      <c r="H14" s="168"/>
    </row>
    <row r="15" spans="1:8" ht="12.75" customHeight="1" x14ac:dyDescent="0.15">
      <c r="A15" s="168"/>
      <c r="B15" s="320"/>
      <c r="C15" s="292"/>
      <c r="D15" s="363"/>
      <c r="E15" s="363"/>
      <c r="F15" s="363"/>
      <c r="G15" s="168"/>
      <c r="H15" s="168"/>
    </row>
    <row r="16" spans="1:8" ht="15" customHeight="1" x14ac:dyDescent="0.15">
      <c r="A16" s="168"/>
      <c r="B16" s="192"/>
      <c r="C16" s="192"/>
      <c r="D16" s="286"/>
      <c r="E16" s="321"/>
      <c r="F16" s="321"/>
      <c r="G16" s="168"/>
      <c r="H16" s="168"/>
    </row>
    <row r="17" spans="1:8" ht="15" customHeight="1" x14ac:dyDescent="0.15">
      <c r="A17" s="234" t="s">
        <v>615</v>
      </c>
      <c r="B17" s="322" t="s">
        <v>618</v>
      </c>
      <c r="C17" s="322" t="s">
        <v>659</v>
      </c>
      <c r="D17" s="322" t="s">
        <v>660</v>
      </c>
      <c r="E17" s="322" t="s">
        <v>152</v>
      </c>
      <c r="F17" s="168"/>
      <c r="G17" s="168"/>
      <c r="H17" s="168"/>
    </row>
    <row r="18" spans="1:8" ht="15" customHeight="1" x14ac:dyDescent="0.15">
      <c r="A18" s="304" t="s">
        <v>620</v>
      </c>
      <c r="B18" s="308">
        <f>'6a. Cooling Model - Global'!B34</f>
        <v>0.23599999999999999</v>
      </c>
      <c r="C18" s="309">
        <f>'6a. Cooling Model - Global'!G34</f>
        <v>4.3378601805433998</v>
      </c>
      <c r="D18" s="310">
        <f>'6a. Cooling Model - Global'!I34</f>
        <v>14459533.935144667</v>
      </c>
      <c r="E18" s="312">
        <f>D18*$B$6</f>
        <v>313396011931.72284</v>
      </c>
      <c r="F18" s="168"/>
      <c r="G18" s="168"/>
      <c r="H18" s="168"/>
    </row>
    <row r="19" spans="1:8" ht="15" customHeight="1" x14ac:dyDescent="0.15">
      <c r="A19" s="304" t="s">
        <v>840</v>
      </c>
      <c r="B19" s="308">
        <f>'6a. Cooling Model - Global'!B35</f>
        <v>0.42196061026352288</v>
      </c>
      <c r="C19" s="309">
        <f>'6a. Cooling Model - Global'!G35</f>
        <v>2.4261387857243344</v>
      </c>
      <c r="D19" s="310">
        <f>'6a. Cooling Model - Global'!I35</f>
        <v>8087129.2857477823</v>
      </c>
      <c r="E19" s="312">
        <f>D19*$B$6</f>
        <v>175280481203.4379</v>
      </c>
      <c r="F19" s="168"/>
      <c r="G19" s="168"/>
      <c r="H19" s="168"/>
    </row>
    <row r="20" spans="1:8" ht="15" customHeight="1" x14ac:dyDescent="0.15">
      <c r="A20" s="304" t="s">
        <v>622</v>
      </c>
      <c r="B20" s="308">
        <f>'6a. Cooling Model - Global'!B36</f>
        <v>3.7199999999999997E-2</v>
      </c>
      <c r="C20" s="309">
        <f>'6a. Cooling Model - Global'!G36</f>
        <v>22.962345959468486</v>
      </c>
      <c r="D20" s="310">
        <f>'6a. Cooling Model - Global'!I36</f>
        <v>76541153.198228285</v>
      </c>
      <c r="E20" s="312">
        <f>D20*$B$6</f>
        <v>1658953343072.5879</v>
      </c>
      <c r="F20" s="168"/>
      <c r="G20" s="168"/>
      <c r="H20" s="168"/>
    </row>
    <row r="21" spans="1:8" ht="15" customHeight="1" x14ac:dyDescent="0.15">
      <c r="A21" s="304" t="s">
        <v>624</v>
      </c>
      <c r="B21" s="308">
        <f>'6a. Cooling Model - Global'!B37</f>
        <v>7.5399999999999998E-3</v>
      </c>
      <c r="C21" s="309">
        <f>'6a. Cooling Model - Global'!G37</f>
        <v>99.736614490469961</v>
      </c>
      <c r="D21" s="310">
        <f>'6a. Cooling Model - Global'!I37</f>
        <v>332455381.63489985</v>
      </c>
      <c r="E21" s="312">
        <f>D21*$B$6</f>
        <v>7205639629668.6123</v>
      </c>
      <c r="F21" s="168"/>
      <c r="G21" s="168"/>
      <c r="H21" s="168"/>
    </row>
    <row r="22" spans="1:8" ht="15" customHeight="1" x14ac:dyDescent="0.15">
      <c r="A22" s="168"/>
      <c r="B22" s="168"/>
      <c r="C22" s="168"/>
      <c r="D22" s="168"/>
      <c r="E22" s="168"/>
      <c r="F22" s="168"/>
      <c r="G22" s="168"/>
      <c r="H22" s="168"/>
    </row>
    <row r="23" spans="1:8" ht="15" customHeight="1" x14ac:dyDescent="0.15">
      <c r="A23" s="393" t="s">
        <v>661</v>
      </c>
      <c r="B23" s="393"/>
      <c r="C23" s="393"/>
      <c r="D23" s="393"/>
      <c r="E23" s="393"/>
      <c r="F23" s="393"/>
      <c r="G23" s="393"/>
      <c r="H23" s="168"/>
    </row>
    <row r="24" spans="1:8" ht="29" customHeight="1" x14ac:dyDescent="0.15">
      <c r="A24" s="363" t="s">
        <v>662</v>
      </c>
      <c r="B24" s="363"/>
      <c r="C24" s="363"/>
      <c r="D24" s="363"/>
      <c r="E24" s="363"/>
      <c r="F24" s="363"/>
      <c r="G24" s="363"/>
      <c r="H24" s="168"/>
    </row>
    <row r="25" spans="1:8" ht="41.5" customHeight="1" x14ac:dyDescent="0.15">
      <c r="A25" s="304" t="s">
        <v>663</v>
      </c>
      <c r="B25" s="310">
        <f>'6a. Cooling Model - Global'!$B$42</f>
        <v>110</v>
      </c>
      <c r="C25" s="323" t="s">
        <v>664</v>
      </c>
      <c r="D25" s="286"/>
      <c r="E25" s="321" t="s">
        <v>954</v>
      </c>
      <c r="G25" s="193"/>
      <c r="H25" s="168"/>
    </row>
    <row r="26" spans="1:8" ht="15" customHeight="1" x14ac:dyDescent="0.15">
      <c r="A26" s="304" t="s">
        <v>666</v>
      </c>
      <c r="B26" s="305">
        <f>B5</f>
        <v>1</v>
      </c>
      <c r="C26" s="323" t="s">
        <v>645</v>
      </c>
      <c r="D26" s="286"/>
      <c r="E26" s="321"/>
      <c r="F26" s="321"/>
      <c r="G26" s="168"/>
      <c r="H26" s="168"/>
    </row>
    <row r="27" spans="1:8" ht="15" customHeight="1" x14ac:dyDescent="0.15">
      <c r="A27" s="168"/>
      <c r="B27" s="168"/>
      <c r="C27" s="168"/>
      <c r="D27" s="168"/>
      <c r="E27" s="168"/>
      <c r="F27" s="168"/>
      <c r="G27" s="168"/>
      <c r="H27" s="168"/>
    </row>
    <row r="28" spans="1:8" ht="15" customHeight="1" x14ac:dyDescent="0.15">
      <c r="A28" s="234" t="s">
        <v>667</v>
      </c>
      <c r="B28" s="234" t="s">
        <v>668</v>
      </c>
      <c r="C28" s="234" t="s">
        <v>669</v>
      </c>
      <c r="D28" s="234" t="s">
        <v>670</v>
      </c>
      <c r="E28" s="234" t="s">
        <v>415</v>
      </c>
      <c r="G28" s="168"/>
      <c r="H28" s="168"/>
    </row>
    <row r="29" spans="1:8" ht="29" customHeight="1" x14ac:dyDescent="0.15">
      <c r="A29" s="304" t="s">
        <v>671</v>
      </c>
      <c r="B29" s="341">
        <f>'6a. Cooling Model - Global'!$B$43</f>
        <v>0.6</v>
      </c>
      <c r="C29" s="313">
        <f>B25*1000*B29/100</f>
        <v>660</v>
      </c>
      <c r="D29" s="313">
        <f>C29*B26</f>
        <v>660</v>
      </c>
      <c r="E29" s="395" t="s">
        <v>955</v>
      </c>
      <c r="F29" s="395"/>
      <c r="G29" s="395"/>
      <c r="H29" s="395"/>
    </row>
    <row r="30" spans="1:8" ht="54" customHeight="1" x14ac:dyDescent="0.15">
      <c r="A30" s="304" t="s">
        <v>672</v>
      </c>
      <c r="B30" s="341">
        <f>'6a. Cooling Model - Global'!$B$44</f>
        <v>3.3</v>
      </c>
      <c r="C30" s="313">
        <f>B25*1000*B30/100</f>
        <v>3630</v>
      </c>
      <c r="D30" s="313">
        <f>C30*B26</f>
        <v>3630</v>
      </c>
      <c r="E30" s="395" t="s">
        <v>956</v>
      </c>
      <c r="F30" s="395"/>
      <c r="G30" s="395"/>
      <c r="H30" s="395"/>
    </row>
    <row r="31" spans="1:8" ht="29" customHeight="1" x14ac:dyDescent="0.15">
      <c r="A31" s="304" t="s">
        <v>674</v>
      </c>
      <c r="B31" s="341">
        <f>'6a. Cooling Model - Global'!$B$45</f>
        <v>12</v>
      </c>
      <c r="C31" s="313">
        <f>B25*1000*B31/100</f>
        <v>13200</v>
      </c>
      <c r="D31" s="313">
        <f>C31*B26</f>
        <v>13200</v>
      </c>
      <c r="E31" s="395" t="s">
        <v>957</v>
      </c>
      <c r="F31" s="395"/>
      <c r="G31" s="395"/>
      <c r="H31" s="395"/>
    </row>
    <row r="32" spans="1:8" ht="39.75" customHeight="1" x14ac:dyDescent="0.15">
      <c r="A32" s="363" t="s">
        <v>675</v>
      </c>
      <c r="B32" s="363"/>
      <c r="C32" s="363"/>
      <c r="D32" s="363"/>
      <c r="E32" s="363"/>
      <c r="F32" s="363"/>
      <c r="G32" s="363"/>
      <c r="H32" s="168"/>
    </row>
    <row r="33" spans="1:8" ht="15" customHeight="1" x14ac:dyDescent="0.15">
      <c r="A33" s="168"/>
      <c r="B33" s="168"/>
      <c r="C33" s="168"/>
      <c r="D33" s="168"/>
      <c r="E33" s="168"/>
      <c r="F33" s="168"/>
      <c r="G33" s="168"/>
      <c r="H33" s="168"/>
    </row>
    <row r="34" spans="1:8" ht="15" customHeight="1" x14ac:dyDescent="0.15">
      <c r="A34" s="393" t="s">
        <v>676</v>
      </c>
      <c r="B34" s="393"/>
      <c r="C34" s="393"/>
      <c r="D34" s="393"/>
      <c r="E34" s="393"/>
      <c r="F34" s="393"/>
      <c r="G34" s="393"/>
      <c r="H34" s="168"/>
    </row>
    <row r="35" spans="1:8" ht="15" customHeight="1" x14ac:dyDescent="0.15">
      <c r="A35" s="363" t="s">
        <v>677</v>
      </c>
      <c r="B35" s="363"/>
      <c r="C35" s="363"/>
      <c r="D35" s="363"/>
      <c r="E35" s="363"/>
      <c r="F35" s="363"/>
      <c r="G35" s="363"/>
      <c r="H35" s="168"/>
    </row>
    <row r="36" spans="1:8" ht="15" customHeight="1" x14ac:dyDescent="0.15">
      <c r="A36" s="168"/>
      <c r="B36" s="168"/>
      <c r="C36" s="168"/>
      <c r="D36" s="168"/>
      <c r="E36" s="168"/>
      <c r="F36" s="168"/>
      <c r="G36" s="168"/>
      <c r="H36" s="168"/>
    </row>
    <row r="37" spans="1:8" ht="15" customHeight="1" x14ac:dyDescent="0.15">
      <c r="A37" s="234" t="s">
        <v>678</v>
      </c>
      <c r="B37" s="234" t="s">
        <v>679</v>
      </c>
      <c r="C37" s="234" t="s">
        <v>680</v>
      </c>
      <c r="D37" s="234" t="s">
        <v>681</v>
      </c>
      <c r="E37" s="168"/>
      <c r="F37" s="168"/>
      <c r="G37" s="168"/>
      <c r="H37" s="168"/>
    </row>
    <row r="38" spans="1:8" ht="15" customHeight="1" x14ac:dyDescent="0.15">
      <c r="A38" s="304" t="s">
        <v>682</v>
      </c>
      <c r="B38" s="324">
        <f>E18</f>
        <v>313396011931.72284</v>
      </c>
      <c r="C38" s="324">
        <f>$D$30*10^9</f>
        <v>3630000000000</v>
      </c>
      <c r="D38" s="291">
        <f>C38/B38</f>
        <v>11.582789384029686</v>
      </c>
      <c r="E38" s="168"/>
      <c r="F38" s="168"/>
      <c r="G38" s="168"/>
      <c r="H38" s="168"/>
    </row>
    <row r="39" spans="1:8" ht="15" customHeight="1" x14ac:dyDescent="0.15">
      <c r="A39" s="304" t="s">
        <v>843</v>
      </c>
      <c r="B39" s="324">
        <f>E19</f>
        <v>175280481203.4379</v>
      </c>
      <c r="C39" s="324">
        <f>$D$30*10^9</f>
        <v>3630000000000</v>
      </c>
      <c r="D39" s="291">
        <f>C39/B39</f>
        <v>20.709664733216183</v>
      </c>
      <c r="E39" s="168"/>
      <c r="F39" s="168"/>
      <c r="G39" s="168"/>
      <c r="H39" s="168"/>
    </row>
    <row r="40" spans="1:8" ht="15" customHeight="1" x14ac:dyDescent="0.15">
      <c r="A40" s="304" t="s">
        <v>683</v>
      </c>
      <c r="B40" s="324">
        <f>E20</f>
        <v>1658953343072.5879</v>
      </c>
      <c r="C40" s="324">
        <f>$D$30*10^9</f>
        <v>3630000000000</v>
      </c>
      <c r="D40" s="291">
        <f>C40/B40</f>
        <v>2.1881266372909489</v>
      </c>
      <c r="E40" s="168"/>
      <c r="F40" s="168"/>
      <c r="G40" s="286"/>
      <c r="H40" s="168"/>
    </row>
    <row r="41" spans="1:8" ht="15" customHeight="1" x14ac:dyDescent="0.15">
      <c r="A41" s="304" t="s">
        <v>684</v>
      </c>
      <c r="B41" s="324">
        <f>E21</f>
        <v>7205639629668.6123</v>
      </c>
      <c r="C41" s="324">
        <f>$D$30*10^9</f>
        <v>3630000000000</v>
      </c>
      <c r="D41" s="325">
        <f>C41/B41</f>
        <v>0.50377207112242772</v>
      </c>
      <c r="E41" s="304"/>
      <c r="F41" s="304"/>
      <c r="G41" s="326"/>
    </row>
    <row r="42" spans="1:8" ht="27.75" customHeight="1" x14ac:dyDescent="0.15">
      <c r="A42" s="363" t="str">
        <f>"Benefit-cost at the piggyback cost from tab 3b ("&amp;TEXT($B$6,"$#,##0")&amp;"/t). Dedicated-vessel case is 6b; fleet numbers in section D."</f>
        <v>Benefit-cost at the piggyback cost from tab 3b ($21,674/t). Dedicated-vessel case is 6b; fleet numbers in section D.</v>
      </c>
      <c r="B42" s="363"/>
      <c r="C42" s="363"/>
      <c r="D42" s="363"/>
      <c r="E42" s="363"/>
      <c r="F42" s="363"/>
      <c r="G42" s="363"/>
    </row>
    <row r="44" spans="1:8" ht="15" customHeight="1" x14ac:dyDescent="0.15">
      <c r="A44" s="393" t="s">
        <v>688</v>
      </c>
      <c r="B44" s="393"/>
      <c r="C44" s="393"/>
      <c r="D44" s="393"/>
      <c r="E44" s="393"/>
      <c r="F44" s="393"/>
      <c r="G44" s="393"/>
    </row>
    <row r="45" spans="1:8" ht="24" customHeight="1" x14ac:dyDescent="0.15">
      <c r="A45" s="363" t="s">
        <v>689</v>
      </c>
      <c r="B45" s="363"/>
      <c r="C45" s="363"/>
      <c r="D45" s="363"/>
      <c r="E45" s="363"/>
      <c r="F45" s="363"/>
      <c r="G45" s="363"/>
    </row>
    <row r="47" spans="1:8" ht="15" customHeight="1" x14ac:dyDescent="0.15">
      <c r="A47" s="304" t="s">
        <v>962</v>
      </c>
      <c r="B47" s="310">
        <f>'3b. Outputs - Ship Piggyback'!B43</f>
        <v>427.23629854203762</v>
      </c>
      <c r="C47" s="304" t="s">
        <v>687</v>
      </c>
      <c r="D47" s="203" t="s">
        <v>963</v>
      </c>
    </row>
    <row r="48" spans="1:8" ht="15" customHeight="1" x14ac:dyDescent="0.15">
      <c r="A48" s="304" t="s">
        <v>964</v>
      </c>
      <c r="B48" s="310">
        <f>'3b. Outputs - Ship Piggyback'!B41*24*'3b. Outputs - Ship Piggyback'!B16*B50/1000</f>
        <v>2592</v>
      </c>
      <c r="C48" s="304" t="s">
        <v>687</v>
      </c>
    </row>
    <row r="49" spans="1:7" ht="24" customHeight="1" x14ac:dyDescent="0.15">
      <c r="A49" s="363" t="s">
        <v>965</v>
      </c>
      <c r="B49" s="363"/>
      <c r="C49" s="363"/>
      <c r="D49" s="363"/>
      <c r="E49" s="363"/>
      <c r="F49" s="363"/>
      <c r="G49" s="363"/>
    </row>
    <row r="50" spans="1:7" x14ac:dyDescent="0.15">
      <c r="A50" s="304" t="s">
        <v>966</v>
      </c>
      <c r="B50" s="327">
        <v>0.2</v>
      </c>
      <c r="C50" s="304" t="s">
        <v>967</v>
      </c>
      <c r="D50" s="203" t="s">
        <v>968</v>
      </c>
    </row>
    <row r="51" spans="1:7" ht="15" customHeight="1" x14ac:dyDescent="0.15">
      <c r="A51" s="393" t="s">
        <v>690</v>
      </c>
      <c r="B51" s="393"/>
      <c r="C51" s="393"/>
      <c r="D51" s="393"/>
      <c r="E51" s="393"/>
      <c r="F51" s="393"/>
      <c r="G51" s="393"/>
    </row>
    <row r="52" spans="1:7" ht="41.5" customHeight="1" x14ac:dyDescent="0.15">
      <c r="A52" s="304" t="s">
        <v>691</v>
      </c>
      <c r="B52" s="327">
        <v>6706</v>
      </c>
      <c r="C52" s="304" t="s">
        <v>692</v>
      </c>
    </row>
    <row r="53" spans="1:7" ht="36" customHeight="1" x14ac:dyDescent="0.15">
      <c r="A53" s="363" t="s">
        <v>969</v>
      </c>
      <c r="B53" s="363"/>
      <c r="C53" s="363"/>
      <c r="D53" s="363"/>
      <c r="E53" s="363"/>
      <c r="F53" s="363"/>
      <c r="G53" s="363"/>
    </row>
    <row r="54" spans="1:7" ht="91" x14ac:dyDescent="0.15">
      <c r="A54" s="304" t="s">
        <v>970</v>
      </c>
      <c r="B54" s="327">
        <f>ROUND(B52*D54,0)</f>
        <v>5700</v>
      </c>
      <c r="C54" s="304" t="s">
        <v>692</v>
      </c>
      <c r="D54" s="327">
        <v>0.85</v>
      </c>
      <c r="E54" s="203" t="s">
        <v>971</v>
      </c>
    </row>
    <row r="55" spans="1:7" ht="15" customHeight="1" x14ac:dyDescent="0.15">
      <c r="A55" s="234" t="s">
        <v>693</v>
      </c>
      <c r="B55" s="234" t="s">
        <v>694</v>
      </c>
      <c r="C55" s="234" t="s">
        <v>537</v>
      </c>
      <c r="D55" s="234" t="s">
        <v>972</v>
      </c>
      <c r="E55" s="234" t="str">
        <f>"Cost at tab-1 power, "&amp;TEXT($B$6,"$#,##0")&amp;"/t ($B/yr)"</f>
        <v>Cost at tab-1 power, $21,674/t ($B/yr)</v>
      </c>
      <c r="F55" s="234"/>
    </row>
    <row r="56" spans="1:7" ht="15" customHeight="1" x14ac:dyDescent="0.15">
      <c r="A56" s="304" t="s">
        <v>682</v>
      </c>
      <c r="B56" s="323">
        <f>'6a. Cooling Model - Global'!I34</f>
        <v>14459533.935144667</v>
      </c>
      <c r="C56" s="323">
        <f>B56/$B$47</f>
        <v>33844.34792757182</v>
      </c>
      <c r="D56" s="328">
        <f>C56/$B$54</f>
        <v>5.9376048995740032</v>
      </c>
      <c r="E56" s="329">
        <f>B56*$B$6/10^9</f>
        <v>313.39601193172285</v>
      </c>
      <c r="F56" s="329"/>
    </row>
    <row r="57" spans="1:7" ht="15" customHeight="1" x14ac:dyDescent="0.15">
      <c r="A57" s="304" t="s">
        <v>840</v>
      </c>
      <c r="B57" s="323">
        <f>'6a. Cooling Model - Global'!I35</f>
        <v>8087129.2857477823</v>
      </c>
      <c r="C57" s="323">
        <f>B57/$B$47</f>
        <v>18928.937717477333</v>
      </c>
      <c r="D57" s="328">
        <f>C57/$B$54</f>
        <v>3.3208662662240935</v>
      </c>
      <c r="E57" s="329">
        <f>B57*$B$6/10^9</f>
        <v>175.28048120343789</v>
      </c>
      <c r="F57" s="329"/>
    </row>
    <row r="58" spans="1:7" ht="15" customHeight="1" x14ac:dyDescent="0.15">
      <c r="A58" s="304" t="s">
        <v>683</v>
      </c>
      <c r="B58" s="323">
        <f>'6a. Cooling Model - Global'!I36</f>
        <v>76541153.198228285</v>
      </c>
      <c r="C58" s="323">
        <f>B58/$B$47</f>
        <v>179154.14364235502</v>
      </c>
      <c r="D58" s="328">
        <f>C58/$B$54</f>
        <v>31.430551516202634</v>
      </c>
      <c r="E58" s="329">
        <f>B58*$B$6/10^9</f>
        <v>1658.9533430725878</v>
      </c>
      <c r="F58" s="329"/>
    </row>
    <row r="59" spans="1:7" ht="15" customHeight="1" x14ac:dyDescent="0.15">
      <c r="A59" s="304" t="s">
        <v>695</v>
      </c>
      <c r="B59" s="323">
        <f>'6a. Cooling Model - Global'!I37</f>
        <v>332455381.63489985</v>
      </c>
      <c r="C59" s="323">
        <f>B59/$B$47</f>
        <v>778153.40777321183</v>
      </c>
      <c r="D59" s="328">
        <f>C59/$B$54</f>
        <v>136.51814171459856</v>
      </c>
      <c r="E59" s="329">
        <f>B59*$B$6/10^9</f>
        <v>7205.6396296686125</v>
      </c>
      <c r="F59" s="329"/>
    </row>
    <row r="61" spans="1:7" ht="15" customHeight="1" x14ac:dyDescent="0.15">
      <c r="A61" s="393" t="s">
        <v>973</v>
      </c>
      <c r="B61" s="393"/>
      <c r="C61" s="393"/>
      <c r="D61" s="393"/>
      <c r="E61" s="393"/>
      <c r="F61" s="393"/>
      <c r="G61" s="393"/>
    </row>
    <row r="62" spans="1:7" ht="36" customHeight="1" x14ac:dyDescent="0.15">
      <c r="A62" s="363" t="s">
        <v>974</v>
      </c>
      <c r="B62" s="363"/>
      <c r="C62" s="363"/>
      <c r="D62" s="363"/>
      <c r="E62" s="363"/>
      <c r="F62" s="363"/>
      <c r="G62" s="363"/>
    </row>
    <row r="63" spans="1:7" ht="15" customHeight="1" x14ac:dyDescent="0.15">
      <c r="A63" s="234"/>
      <c r="B63" s="234"/>
      <c r="C63" s="234"/>
      <c r="D63" s="234"/>
      <c r="E63" s="234"/>
      <c r="F63" s="234"/>
      <c r="G63" s="234"/>
    </row>
    <row r="64" spans="1:7" ht="15" customHeight="1" x14ac:dyDescent="0.15">
      <c r="A64" s="304"/>
      <c r="B64" s="323"/>
      <c r="C64" s="311"/>
      <c r="D64" s="311"/>
      <c r="E64" s="323"/>
      <c r="F64" s="323"/>
      <c r="G64" s="326"/>
    </row>
    <row r="65" spans="1:7" ht="15" customHeight="1" x14ac:dyDescent="0.15">
      <c r="A65" s="304"/>
      <c r="B65" s="323"/>
      <c r="C65" s="311"/>
      <c r="D65" s="311"/>
      <c r="E65" s="323"/>
      <c r="F65" s="323"/>
      <c r="G65" s="326"/>
    </row>
    <row r="66" spans="1:7" ht="15" customHeight="1" x14ac:dyDescent="0.15">
      <c r="A66" s="304"/>
      <c r="B66" s="323"/>
      <c r="C66" s="311"/>
      <c r="D66" s="311"/>
      <c r="E66" s="323"/>
      <c r="F66" s="323"/>
      <c r="G66" s="326"/>
    </row>
    <row r="67" spans="1:7" ht="36" customHeight="1" x14ac:dyDescent="0.15">
      <c r="A67" s="363"/>
      <c r="B67" s="363"/>
      <c r="C67" s="363"/>
      <c r="D67" s="363"/>
      <c r="E67" s="363"/>
      <c r="F67" s="363"/>
      <c r="G67" s="363"/>
    </row>
  </sheetData>
  <mergeCells count="29">
    <mergeCell ref="A53:G53"/>
    <mergeCell ref="A61:G61"/>
    <mergeCell ref="A62:G62"/>
    <mergeCell ref="A67:G67"/>
    <mergeCell ref="A42:G42"/>
    <mergeCell ref="A44:G44"/>
    <mergeCell ref="A45:G45"/>
    <mergeCell ref="A49:G49"/>
    <mergeCell ref="A51:G51"/>
    <mergeCell ref="E30:H30"/>
    <mergeCell ref="E31:H31"/>
    <mergeCell ref="A32:G32"/>
    <mergeCell ref="A34:G34"/>
    <mergeCell ref="A35:G35"/>
    <mergeCell ref="D14:F14"/>
    <mergeCell ref="D15:F15"/>
    <mergeCell ref="A23:G23"/>
    <mergeCell ref="A24:G24"/>
    <mergeCell ref="E29:H29"/>
    <mergeCell ref="D8:F8"/>
    <mergeCell ref="D9:F9"/>
    <mergeCell ref="D10:F10"/>
    <mergeCell ref="D11:F11"/>
    <mergeCell ref="D12:F12"/>
    <mergeCell ref="A1:G1"/>
    <mergeCell ref="A2:G2"/>
    <mergeCell ref="A4:G4"/>
    <mergeCell ref="D6:F6"/>
    <mergeCell ref="D7:F7"/>
  </mergeCells>
  <pageMargins left="0.75" right="0.75" top="1" bottom="1"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1"/>
  <sheetViews>
    <sheetView topLeftCell="A4" zoomScaleNormal="100" zoomScalePageLayoutView="60" workbookViewId="0">
      <selection activeCell="B13" sqref="B13"/>
    </sheetView>
  </sheetViews>
  <sheetFormatPr baseColWidth="10" defaultColWidth="8.6640625" defaultRowHeight="15" x14ac:dyDescent="0.2"/>
  <cols>
    <col min="1" max="1" width="24" customWidth="1"/>
    <col min="2" max="2" width="72" customWidth="1"/>
    <col min="3" max="3" width="36" customWidth="1"/>
    <col min="4" max="4" width="44" customWidth="1"/>
  </cols>
  <sheetData>
    <row r="1" spans="1:4" ht="44.5" customHeight="1" x14ac:dyDescent="0.2">
      <c r="A1" s="396" t="s">
        <v>696</v>
      </c>
      <c r="B1" s="396"/>
      <c r="C1" s="396"/>
      <c r="D1" s="396"/>
    </row>
    <row r="2" spans="1:4" ht="31" customHeight="1" x14ac:dyDescent="0.2">
      <c r="A2" s="315" t="s">
        <v>697</v>
      </c>
      <c r="B2" s="315" t="s">
        <v>698</v>
      </c>
      <c r="C2" s="315" t="s">
        <v>699</v>
      </c>
      <c r="D2" s="315" t="s">
        <v>700</v>
      </c>
    </row>
    <row r="3" spans="1:4" ht="44.5" customHeight="1" x14ac:dyDescent="0.2">
      <c r="A3" s="316" t="s">
        <v>701</v>
      </c>
      <c r="B3" s="316" t="s">
        <v>702</v>
      </c>
      <c r="C3" s="316" t="s">
        <v>869</v>
      </c>
      <c r="D3" s="316" t="s">
        <v>703</v>
      </c>
    </row>
    <row r="4" spans="1:4" ht="58.25" customHeight="1" x14ac:dyDescent="0.2">
      <c r="A4" s="316" t="s">
        <v>704</v>
      </c>
      <c r="B4" s="316" t="s">
        <v>705</v>
      </c>
      <c r="C4" s="316" t="s">
        <v>870</v>
      </c>
      <c r="D4" s="316" t="s">
        <v>706</v>
      </c>
    </row>
    <row r="5" spans="1:4" ht="58.25" customHeight="1" x14ac:dyDescent="0.2">
      <c r="A5" s="316" t="s">
        <v>707</v>
      </c>
      <c r="B5" s="316" t="s">
        <v>708</v>
      </c>
      <c r="C5" s="316" t="s">
        <v>709</v>
      </c>
      <c r="D5" s="316" t="s">
        <v>710</v>
      </c>
    </row>
    <row r="6" spans="1:4" ht="72" customHeight="1" x14ac:dyDescent="0.2">
      <c r="A6" s="316" t="s">
        <v>711</v>
      </c>
      <c r="B6" s="316" t="s">
        <v>712</v>
      </c>
      <c r="C6" s="316" t="s">
        <v>871</v>
      </c>
      <c r="D6" s="316" t="s">
        <v>713</v>
      </c>
    </row>
    <row r="7" spans="1:4" ht="44.5" customHeight="1" x14ac:dyDescent="0.2">
      <c r="A7" s="316" t="s">
        <v>714</v>
      </c>
      <c r="B7" s="316" t="s">
        <v>715</v>
      </c>
      <c r="C7" s="316" t="s">
        <v>872</v>
      </c>
      <c r="D7" s="316" t="s">
        <v>716</v>
      </c>
    </row>
    <row r="8" spans="1:4" ht="72" customHeight="1" x14ac:dyDescent="0.2">
      <c r="A8" s="316" t="s">
        <v>717</v>
      </c>
      <c r="B8" s="316" t="s">
        <v>718</v>
      </c>
      <c r="C8" s="316" t="s">
        <v>873</v>
      </c>
      <c r="D8" s="316" t="s">
        <v>719</v>
      </c>
    </row>
    <row r="9" spans="1:4" ht="72" customHeight="1" x14ac:dyDescent="0.2">
      <c r="A9" s="316" t="s">
        <v>720</v>
      </c>
      <c r="B9" s="316" t="s">
        <v>721</v>
      </c>
      <c r="C9" s="316" t="s">
        <v>874</v>
      </c>
      <c r="D9" s="316" t="s">
        <v>722</v>
      </c>
    </row>
    <row r="10" spans="1:4" ht="58.25" customHeight="1" x14ac:dyDescent="0.2">
      <c r="A10" s="316" t="s">
        <v>723</v>
      </c>
      <c r="B10" s="316" t="s">
        <v>724</v>
      </c>
      <c r="C10" s="316" t="s">
        <v>875</v>
      </c>
      <c r="D10" s="316" t="s">
        <v>725</v>
      </c>
    </row>
    <row r="11" spans="1:4" ht="58.25" customHeight="1" x14ac:dyDescent="0.2">
      <c r="A11" s="316" t="s">
        <v>726</v>
      </c>
      <c r="B11" s="316" t="s">
        <v>727</v>
      </c>
      <c r="C11" s="316" t="s">
        <v>844</v>
      </c>
      <c r="D11" s="316" t="s">
        <v>728</v>
      </c>
    </row>
    <row r="12" spans="1:4" ht="44.5" customHeight="1" x14ac:dyDescent="0.2">
      <c r="A12" s="316" t="s">
        <v>729</v>
      </c>
      <c r="B12" s="316" t="s">
        <v>730</v>
      </c>
      <c r="C12" s="316" t="s">
        <v>876</v>
      </c>
      <c r="D12" s="316" t="s">
        <v>731</v>
      </c>
    </row>
    <row r="13" spans="1:4" ht="30.5" customHeight="1" x14ac:dyDescent="0.2">
      <c r="A13" s="316" t="s">
        <v>732</v>
      </c>
      <c r="B13" s="316" t="s">
        <v>733</v>
      </c>
      <c r="C13" s="316" t="s">
        <v>877</v>
      </c>
      <c r="D13" s="316" t="s">
        <v>734</v>
      </c>
    </row>
    <row r="14" spans="1:4" ht="30.5" customHeight="1" x14ac:dyDescent="0.2">
      <c r="A14" s="316" t="s">
        <v>845</v>
      </c>
      <c r="B14" s="316" t="s">
        <v>846</v>
      </c>
      <c r="C14" s="316" t="s">
        <v>879</v>
      </c>
      <c r="D14" s="316" t="s">
        <v>847</v>
      </c>
    </row>
    <row r="15" spans="1:4" ht="30.5" customHeight="1" x14ac:dyDescent="0.2">
      <c r="A15" s="315" t="s">
        <v>735</v>
      </c>
      <c r="B15" s="315"/>
      <c r="C15" s="315"/>
      <c r="D15" s="315"/>
    </row>
    <row r="16" spans="1:4" ht="58.25" customHeight="1" x14ac:dyDescent="0.2">
      <c r="A16" s="316" t="s">
        <v>736</v>
      </c>
      <c r="B16" s="316" t="s">
        <v>737</v>
      </c>
      <c r="C16" s="316" t="s">
        <v>738</v>
      </c>
      <c r="D16" s="316" t="s">
        <v>739</v>
      </c>
    </row>
    <row r="17" spans="1:4" ht="44.5" customHeight="1" x14ac:dyDescent="0.2">
      <c r="A17" s="316" t="s">
        <v>740</v>
      </c>
      <c r="B17" s="316" t="s">
        <v>741</v>
      </c>
      <c r="C17" s="316" t="s">
        <v>742</v>
      </c>
      <c r="D17" s="316" t="s">
        <v>743</v>
      </c>
    </row>
    <row r="18" spans="1:4" ht="44.5" customHeight="1" x14ac:dyDescent="0.2">
      <c r="A18" s="315" t="s">
        <v>744</v>
      </c>
      <c r="B18" s="315"/>
      <c r="C18" s="315"/>
      <c r="D18" s="315"/>
    </row>
    <row r="19" spans="1:4" ht="29" customHeight="1" x14ac:dyDescent="0.2">
      <c r="A19" s="316" t="s">
        <v>745</v>
      </c>
      <c r="B19" s="316" t="s">
        <v>746</v>
      </c>
      <c r="C19" s="316" t="s">
        <v>878</v>
      </c>
      <c r="D19" s="316" t="s">
        <v>758</v>
      </c>
    </row>
    <row r="20" spans="1:4" ht="54" customHeight="1" x14ac:dyDescent="0.2">
      <c r="A20" s="316" t="s">
        <v>747</v>
      </c>
      <c r="B20" s="316" t="s">
        <v>748</v>
      </c>
      <c r="C20" s="316" t="s">
        <v>749</v>
      </c>
      <c r="D20" s="316" t="s">
        <v>759</v>
      </c>
    </row>
    <row r="21" spans="1:4" ht="30.5" customHeight="1" x14ac:dyDescent="0.2">
      <c r="A21" s="316" t="s">
        <v>750</v>
      </c>
      <c r="B21" s="316" t="s">
        <v>751</v>
      </c>
      <c r="C21" s="316" t="s">
        <v>876</v>
      </c>
      <c r="D21" s="316" t="s">
        <v>760</v>
      </c>
    </row>
  </sheetData>
  <mergeCells count="1">
    <mergeCell ref="A1:D1"/>
  </mergeCells>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Overview</vt:lpstr>
      <vt:lpstr>1. Technology Description</vt:lpstr>
      <vt:lpstr>2. Cost Inputs</vt:lpstr>
      <vt:lpstr>3a. Outputs - Dedicated Vessel</vt:lpstr>
      <vt:lpstr>3b. Outputs - Ship Piggyback</vt:lpstr>
      <vt:lpstr>3c. Outputs - Fixed Platform</vt:lpstr>
      <vt:lpstr>3d. Outputs - Stationary Vessel</vt:lpstr>
      <vt:lpstr>4. Scenario Comparison</vt:lpstr>
      <vt:lpstr>5a. Cooling Model - Local</vt:lpstr>
      <vt:lpstr>5b. Cooling-Value Sensitivity</vt:lpstr>
      <vt:lpstr>5c. Benefit - Local - Reef</vt:lpstr>
      <vt:lpstr>5c-alt. Benefit - Reef (Zhao)</vt:lpstr>
      <vt:lpstr>5d. Benefit - Local - City</vt:lpstr>
      <vt:lpstr>6a. Cooling Model - Global</vt:lpstr>
      <vt:lpstr>6b. Benefit - Global - Vessel</vt:lpstr>
      <vt:lpstr>6c. Benefit - Global Piggyback</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